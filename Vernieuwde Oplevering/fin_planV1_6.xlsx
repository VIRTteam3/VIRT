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88" yWindow="96" windowWidth="6660" windowHeight="6096" tabRatio="797"/>
  </bookViews>
  <sheets>
    <sheet name="Overview" sheetId="1" r:id="rId1"/>
    <sheet name="Package details" sheetId="7" r:id="rId2"/>
    <sheet name="Hardware details" sheetId="9" r:id="rId3"/>
    <sheet name="Sales forecast" sheetId="10" r:id="rId4"/>
    <sheet name="Hardware demands" sheetId="11" r:id="rId5"/>
    <sheet name="Expenses" sheetId="12" r:id="rId6"/>
    <sheet name="Expenses2" sheetId="13" state="hidden" r:id="rId7"/>
    <sheet name="Total costs" sheetId="5" r:id="rId8"/>
    <sheet name="Constant costs" sheetId="2" r:id="rId9"/>
    <sheet name="Variable costs" sheetId="4" r:id="rId10"/>
    <sheet name="Total revenue" sheetId="3" r:id="rId11"/>
  </sheets>
  <calcPr calcId="144525"/>
</workbook>
</file>

<file path=xl/calcChain.xml><?xml version="1.0" encoding="utf-8"?>
<calcChain xmlns="http://schemas.openxmlformats.org/spreadsheetml/2006/main">
  <c r="C21" i="3" l="1"/>
  <c r="D21" i="3"/>
  <c r="E21" i="3"/>
  <c r="F21" i="3"/>
  <c r="G21" i="3"/>
  <c r="H21" i="3"/>
  <c r="I21" i="3"/>
  <c r="J21" i="3"/>
  <c r="K21" i="3"/>
  <c r="L21" i="3"/>
  <c r="M21" i="3"/>
  <c r="C22" i="3"/>
  <c r="D22" i="3"/>
  <c r="E22" i="3"/>
  <c r="F22" i="3"/>
  <c r="G22" i="3"/>
  <c r="H22" i="3"/>
  <c r="I22" i="3"/>
  <c r="J22" i="3"/>
  <c r="K22" i="3"/>
  <c r="L22" i="3"/>
  <c r="M22" i="3"/>
  <c r="C23" i="3"/>
  <c r="D23" i="3"/>
  <c r="E23" i="3"/>
  <c r="F23" i="3"/>
  <c r="G23" i="3"/>
  <c r="H23" i="3"/>
  <c r="I23" i="3"/>
  <c r="J23" i="3"/>
  <c r="K23" i="3"/>
  <c r="L23" i="3"/>
  <c r="M23" i="3"/>
  <c r="B23" i="3"/>
  <c r="B22" i="3"/>
  <c r="C15" i="3"/>
  <c r="D15" i="3"/>
  <c r="E15" i="3"/>
  <c r="F15" i="3"/>
  <c r="G15" i="3"/>
  <c r="H15" i="3"/>
  <c r="I15" i="3"/>
  <c r="J15" i="3"/>
  <c r="K15" i="3"/>
  <c r="L15" i="3"/>
  <c r="M15" i="3"/>
  <c r="C16" i="3"/>
  <c r="D16" i="3"/>
  <c r="E16" i="3"/>
  <c r="F16" i="3"/>
  <c r="G16" i="3"/>
  <c r="H16" i="3"/>
  <c r="I16" i="3"/>
  <c r="J16" i="3"/>
  <c r="K16" i="3"/>
  <c r="L16" i="3"/>
  <c r="M16" i="3"/>
  <c r="C17" i="3"/>
  <c r="D17" i="3"/>
  <c r="E17" i="3"/>
  <c r="F17" i="3"/>
  <c r="G17" i="3"/>
  <c r="H17" i="3"/>
  <c r="I17" i="3"/>
  <c r="J17" i="3"/>
  <c r="K17" i="3"/>
  <c r="L17" i="3"/>
  <c r="M17" i="3"/>
  <c r="B17" i="3"/>
  <c r="B16" i="3"/>
  <c r="E23" i="9"/>
  <c r="G12" i="9"/>
  <c r="E12" i="9"/>
  <c r="M33" i="13"/>
  <c r="L33" i="13"/>
  <c r="K33" i="13"/>
  <c r="J33" i="13"/>
  <c r="I33" i="13"/>
  <c r="H33" i="13"/>
  <c r="G33" i="13"/>
  <c r="F33" i="13"/>
  <c r="E33" i="13"/>
  <c r="D33" i="13"/>
  <c r="C33" i="13"/>
  <c r="B33" i="13"/>
  <c r="M24" i="13"/>
  <c r="L24" i="13"/>
  <c r="K24" i="13"/>
  <c r="J24" i="13"/>
  <c r="I24" i="13"/>
  <c r="H24" i="13"/>
  <c r="G24" i="13"/>
  <c r="F24" i="13"/>
  <c r="E24" i="13"/>
  <c r="D24" i="13"/>
  <c r="C24" i="13"/>
  <c r="B24" i="13"/>
  <c r="C15" i="13"/>
  <c r="D15" i="13"/>
  <c r="E15" i="13"/>
  <c r="F15" i="13"/>
  <c r="G15" i="13"/>
  <c r="H15" i="13"/>
  <c r="I15" i="13"/>
  <c r="J15" i="13"/>
  <c r="K15" i="13"/>
  <c r="L15" i="13"/>
  <c r="M15" i="13"/>
  <c r="C33" i="12"/>
  <c r="D33" i="12"/>
  <c r="E33" i="12"/>
  <c r="F33" i="12"/>
  <c r="G33" i="12"/>
  <c r="H33" i="12"/>
  <c r="I33" i="12"/>
  <c r="J33" i="12"/>
  <c r="K33" i="12"/>
  <c r="L33" i="12"/>
  <c r="M33" i="12"/>
  <c r="B33" i="12"/>
  <c r="C24" i="12"/>
  <c r="D24" i="12"/>
  <c r="E24" i="12"/>
  <c r="F24" i="12"/>
  <c r="G24" i="12"/>
  <c r="H24" i="12"/>
  <c r="I24" i="12"/>
  <c r="J24" i="12"/>
  <c r="K24" i="12"/>
  <c r="L24" i="12"/>
  <c r="M24" i="12"/>
  <c r="B24" i="12"/>
  <c r="D15" i="12"/>
  <c r="E15" i="12"/>
  <c r="F15" i="12"/>
  <c r="G15" i="12"/>
  <c r="H15" i="12"/>
  <c r="I15" i="12"/>
  <c r="J15" i="12"/>
  <c r="K15" i="12"/>
  <c r="L15" i="12"/>
  <c r="M15" i="12"/>
  <c r="C15" i="12"/>
  <c r="A31" i="13"/>
  <c r="A23" i="13"/>
  <c r="A32" i="13" s="1"/>
  <c r="A22" i="13"/>
  <c r="A32" i="12"/>
  <c r="A31" i="12"/>
  <c r="A23" i="12"/>
  <c r="A22" i="12"/>
  <c r="E13" i="9" l="1"/>
  <c r="G13" i="9"/>
  <c r="C13" i="9"/>
  <c r="D10" i="2" l="1"/>
  <c r="E18" i="2"/>
  <c r="E19" i="2"/>
  <c r="E17" i="2"/>
  <c r="E10" i="2" l="1"/>
  <c r="B15" i="12"/>
  <c r="B15" i="13" s="1"/>
  <c r="D13" i="2"/>
  <c r="C38" i="7"/>
  <c r="C26" i="7"/>
  <c r="E15" i="4"/>
  <c r="E14" i="4"/>
  <c r="C14" i="4"/>
  <c r="E12" i="4"/>
  <c r="C13" i="4"/>
  <c r="C12" i="4"/>
  <c r="J10" i="11" l="1"/>
  <c r="C10" i="11"/>
  <c r="K10" i="11"/>
  <c r="D10" i="11"/>
  <c r="D10" i="12" s="1"/>
  <c r="L10" i="11"/>
  <c r="L10" i="12" s="1"/>
  <c r="E10" i="11"/>
  <c r="E10" i="12" s="1"/>
  <c r="M10" i="11"/>
  <c r="M10" i="13" s="1"/>
  <c r="F10" i="11"/>
  <c r="F10" i="12" s="1"/>
  <c r="B10" i="11"/>
  <c r="B10" i="12" s="1"/>
  <c r="G10" i="11"/>
  <c r="H10" i="11"/>
  <c r="I10" i="11"/>
  <c r="L11" i="11"/>
  <c r="M11" i="11"/>
  <c r="I11" i="11"/>
  <c r="B11" i="11"/>
  <c r="J11" i="11"/>
  <c r="C11" i="11"/>
  <c r="K11" i="11"/>
  <c r="D11" i="11"/>
  <c r="E11" i="11"/>
  <c r="F11" i="11"/>
  <c r="G11" i="11"/>
  <c r="H11" i="11"/>
  <c r="E12" i="11"/>
  <c r="F12" i="13" s="1"/>
  <c r="M12" i="11"/>
  <c r="F12" i="11"/>
  <c r="G12" i="11"/>
  <c r="H12" i="11"/>
  <c r="I12" i="11"/>
  <c r="B12" i="11"/>
  <c r="B12" i="13" s="1"/>
  <c r="J12" i="11"/>
  <c r="K12" i="13" s="1"/>
  <c r="C12" i="11"/>
  <c r="C12" i="12" s="1"/>
  <c r="K12" i="11"/>
  <c r="D12" i="11"/>
  <c r="L12" i="11"/>
  <c r="B13" i="13"/>
  <c r="B13" i="12"/>
  <c r="G12" i="13"/>
  <c r="M12" i="13"/>
  <c r="L12" i="13"/>
  <c r="M12" i="12"/>
  <c r="L12" i="12"/>
  <c r="G12" i="12"/>
  <c r="D10" i="13"/>
  <c r="C16" i="4"/>
  <c r="G14" i="4"/>
  <c r="C14" i="7"/>
  <c r="I10" i="12" l="1"/>
  <c r="H10" i="12"/>
  <c r="H10" i="13"/>
  <c r="I12" i="13"/>
  <c r="L10" i="13"/>
  <c r="I10" i="13"/>
  <c r="J12" i="13"/>
  <c r="B12" i="12"/>
  <c r="E10" i="13"/>
  <c r="K10" i="13"/>
  <c r="B10" i="13"/>
  <c r="J10" i="12"/>
  <c r="G10" i="13"/>
  <c r="C10" i="12"/>
  <c r="J10" i="13"/>
  <c r="M10" i="12"/>
  <c r="G10" i="12"/>
  <c r="C10" i="13"/>
  <c r="K10" i="12"/>
  <c r="F10" i="13"/>
  <c r="H12" i="13"/>
  <c r="D12" i="13"/>
  <c r="C12" i="13"/>
  <c r="E12" i="13"/>
  <c r="E12" i="12"/>
  <c r="K12" i="12"/>
  <c r="D12" i="12"/>
  <c r="H12" i="12"/>
  <c r="J12" i="12"/>
  <c r="F12" i="12"/>
  <c r="I12" i="12"/>
  <c r="I14" i="4"/>
  <c r="A23" i="5"/>
  <c r="A32" i="5" s="1"/>
  <c r="A22" i="5"/>
  <c r="A31" i="5" s="1"/>
  <c r="A25" i="11"/>
  <c r="A26" i="11"/>
  <c r="A27" i="11"/>
  <c r="A28" i="11"/>
  <c r="A29" i="11"/>
  <c r="A18" i="11"/>
  <c r="A19" i="11"/>
  <c r="A20" i="11"/>
  <c r="A21" i="11"/>
  <c r="A22" i="11"/>
  <c r="A24" i="3" l="1"/>
  <c r="A18" i="3"/>
  <c r="O23" i="10"/>
  <c r="O16" i="10"/>
  <c r="D20" i="2"/>
  <c r="C15" i="4"/>
  <c r="E16" i="4"/>
  <c r="E13" i="4"/>
  <c r="O26" i="10"/>
  <c r="O25" i="10"/>
  <c r="O24" i="10"/>
  <c r="O19" i="10"/>
  <c r="O18" i="10"/>
  <c r="O17" i="10"/>
  <c r="O11" i="10"/>
  <c r="B11" i="10" s="1"/>
  <c r="O10" i="10"/>
  <c r="B10" i="10" s="1"/>
  <c r="O12" i="10"/>
  <c r="B12" i="10" s="1"/>
  <c r="B12" i="5" s="1"/>
  <c r="E13" i="11" l="1"/>
  <c r="M13" i="11"/>
  <c r="D13" i="11"/>
  <c r="F13" i="11"/>
  <c r="C13" i="11"/>
  <c r="G13" i="11"/>
  <c r="H13" i="11"/>
  <c r="I13" i="11"/>
  <c r="J13" i="11"/>
  <c r="K13" i="11"/>
  <c r="L13" i="11"/>
  <c r="L11" i="13"/>
  <c r="D11" i="13"/>
  <c r="E11" i="12"/>
  <c r="D11" i="12"/>
  <c r="K11" i="13"/>
  <c r="C11" i="13"/>
  <c r="F11" i="12"/>
  <c r="J11" i="13"/>
  <c r="B11" i="13"/>
  <c r="G11" i="12"/>
  <c r="I11" i="13"/>
  <c r="L11" i="12"/>
  <c r="H11" i="13"/>
  <c r="M11" i="12"/>
  <c r="G11" i="13"/>
  <c r="F11" i="13"/>
  <c r="M11" i="13"/>
  <c r="E11" i="13"/>
  <c r="H11" i="12"/>
  <c r="J11" i="12"/>
  <c r="K11" i="12"/>
  <c r="B11" i="12"/>
  <c r="C11" i="12"/>
  <c r="I11" i="12"/>
  <c r="B14" i="11"/>
  <c r="B14" i="12" s="1"/>
  <c r="B10" i="3"/>
  <c r="B23" i="2"/>
  <c r="E20" i="2"/>
  <c r="B24" i="2"/>
  <c r="E13" i="2"/>
  <c r="C12" i="10"/>
  <c r="C12" i="5" s="1"/>
  <c r="C10" i="10"/>
  <c r="B11" i="3"/>
  <c r="C11" i="10"/>
  <c r="B9" i="3"/>
  <c r="G16" i="4"/>
  <c r="I16" i="4" s="1"/>
  <c r="G15" i="4"/>
  <c r="G13" i="4"/>
  <c r="G12" i="4"/>
  <c r="B16" i="13" l="1"/>
  <c r="B14" i="13"/>
  <c r="B16" i="12"/>
  <c r="I13" i="12"/>
  <c r="I13" i="13"/>
  <c r="G13" i="12"/>
  <c r="G13" i="13"/>
  <c r="H13" i="12"/>
  <c r="H13" i="13"/>
  <c r="C13" i="13"/>
  <c r="C13" i="12"/>
  <c r="F13" i="12"/>
  <c r="F13" i="13"/>
  <c r="L13" i="12"/>
  <c r="L13" i="13"/>
  <c r="D13" i="12"/>
  <c r="D13" i="13"/>
  <c r="J13" i="13"/>
  <c r="J13" i="12"/>
  <c r="K13" i="13"/>
  <c r="K13" i="12"/>
  <c r="M13" i="13"/>
  <c r="M13" i="12"/>
  <c r="E13" i="13"/>
  <c r="E13" i="12"/>
  <c r="C14" i="11"/>
  <c r="I13" i="4"/>
  <c r="B11" i="5" s="1"/>
  <c r="G18" i="4"/>
  <c r="I12" i="4"/>
  <c r="B10" i="5" s="1"/>
  <c r="G17" i="4"/>
  <c r="I15" i="4"/>
  <c r="B13" i="5" s="1"/>
  <c r="G19" i="4"/>
  <c r="B14" i="5"/>
  <c r="B25" i="2"/>
  <c r="B26" i="2" s="1"/>
  <c r="B12" i="3"/>
  <c r="D10" i="10"/>
  <c r="C9" i="3"/>
  <c r="D11" i="10"/>
  <c r="C10" i="3"/>
  <c r="D12" i="10"/>
  <c r="D12" i="5" s="1"/>
  <c r="C11" i="3"/>
  <c r="C14" i="5" l="1"/>
  <c r="C14" i="12"/>
  <c r="C16" i="12" s="1"/>
  <c r="C14" i="13"/>
  <c r="C16" i="13" s="1"/>
  <c r="C11" i="5"/>
  <c r="D11" i="5"/>
  <c r="C10" i="5"/>
  <c r="D10" i="5"/>
  <c r="D14" i="11"/>
  <c r="D13" i="5"/>
  <c r="I19" i="4"/>
  <c r="C41" i="7" s="1"/>
  <c r="C42" i="7" s="1"/>
  <c r="I17" i="4"/>
  <c r="C17" i="7" s="1"/>
  <c r="C18" i="7" s="1"/>
  <c r="C13" i="5"/>
  <c r="C33" i="5"/>
  <c r="K33" i="5"/>
  <c r="C24" i="5"/>
  <c r="K24" i="5"/>
  <c r="D15" i="5"/>
  <c r="L15" i="5"/>
  <c r="E33" i="5"/>
  <c r="E24" i="5"/>
  <c r="M24" i="5"/>
  <c r="F15" i="5"/>
  <c r="B15" i="5"/>
  <c r="B16" i="5" s="1"/>
  <c r="D33" i="5"/>
  <c r="L33" i="5"/>
  <c r="D24" i="5"/>
  <c r="L24" i="5"/>
  <c r="E15" i="5"/>
  <c r="M15" i="5"/>
  <c r="M33" i="5"/>
  <c r="F33" i="5"/>
  <c r="B33" i="5"/>
  <c r="F24" i="5"/>
  <c r="B24" i="5"/>
  <c r="G15" i="5"/>
  <c r="H33" i="5"/>
  <c r="H24" i="5"/>
  <c r="G33" i="5"/>
  <c r="G24" i="5"/>
  <c r="H15" i="5"/>
  <c r="I15" i="5"/>
  <c r="I33" i="5"/>
  <c r="J15" i="5"/>
  <c r="J33" i="5"/>
  <c r="C15" i="5"/>
  <c r="I24" i="5"/>
  <c r="J24" i="5"/>
  <c r="K15" i="5"/>
  <c r="I18" i="4"/>
  <c r="C29" i="7" s="1"/>
  <c r="C30" i="7" s="1"/>
  <c r="C12" i="3"/>
  <c r="E10" i="10"/>
  <c r="D9" i="3"/>
  <c r="E12" i="10"/>
  <c r="E12" i="5" s="1"/>
  <c r="D11" i="3"/>
  <c r="E11" i="10"/>
  <c r="E11" i="5" s="1"/>
  <c r="D10" i="3"/>
  <c r="D16" i="13" l="1"/>
  <c r="D14" i="5"/>
  <c r="D14" i="12"/>
  <c r="D16" i="12" s="1"/>
  <c r="D14" i="13"/>
  <c r="C16" i="5"/>
  <c r="D16" i="5"/>
  <c r="E10" i="5"/>
  <c r="E14" i="11"/>
  <c r="E13" i="5"/>
  <c r="F11" i="10"/>
  <c r="F11" i="5" s="1"/>
  <c r="E10" i="3"/>
  <c r="F12" i="10"/>
  <c r="F12" i="5" s="1"/>
  <c r="E11" i="3"/>
  <c r="D12" i="3"/>
  <c r="F10" i="10"/>
  <c r="E9" i="3"/>
  <c r="E14" i="5" l="1"/>
  <c r="E16" i="5" s="1"/>
  <c r="E14" i="12"/>
  <c r="E16" i="12" s="1"/>
  <c r="E14" i="13"/>
  <c r="E16" i="13" s="1"/>
  <c r="F10" i="5"/>
  <c r="F14" i="11"/>
  <c r="F13" i="5"/>
  <c r="G12" i="10"/>
  <c r="G12" i="5" s="1"/>
  <c r="F11" i="3"/>
  <c r="E12" i="3"/>
  <c r="G10" i="10"/>
  <c r="F9" i="3"/>
  <c r="G11" i="10"/>
  <c r="G11" i="5" s="1"/>
  <c r="F10" i="3"/>
  <c r="F14" i="5" l="1"/>
  <c r="F14" i="12"/>
  <c r="F16" i="12" s="1"/>
  <c r="F14" i="13"/>
  <c r="F16" i="13" s="1"/>
  <c r="F16" i="5"/>
  <c r="G10" i="5"/>
  <c r="G14" i="11"/>
  <c r="G13" i="5"/>
  <c r="F12" i="3"/>
  <c r="H11" i="10"/>
  <c r="H11" i="5" s="1"/>
  <c r="G10" i="3"/>
  <c r="H10" i="10"/>
  <c r="G9" i="3"/>
  <c r="H12" i="10"/>
  <c r="H12" i="5" s="1"/>
  <c r="G11" i="3"/>
  <c r="G14" i="5" l="1"/>
  <c r="G14" i="12"/>
  <c r="G16" i="12" s="1"/>
  <c r="G14" i="13"/>
  <c r="G16" i="13" s="1"/>
  <c r="G16" i="5"/>
  <c r="H10" i="5"/>
  <c r="H14" i="11"/>
  <c r="H13" i="5"/>
  <c r="G12" i="3"/>
  <c r="I10" i="10"/>
  <c r="H9" i="3"/>
  <c r="I12" i="10"/>
  <c r="I12" i="5" s="1"/>
  <c r="H11" i="3"/>
  <c r="I11" i="10"/>
  <c r="I11" i="5" s="1"/>
  <c r="H10" i="3"/>
  <c r="H14" i="5" l="1"/>
  <c r="H14" i="13"/>
  <c r="H16" i="13" s="1"/>
  <c r="H14" i="12"/>
  <c r="H16" i="12" s="1"/>
  <c r="H16" i="5"/>
  <c r="I10" i="5"/>
  <c r="I14" i="11"/>
  <c r="I13" i="5"/>
  <c r="J12" i="10"/>
  <c r="J12" i="5" s="1"/>
  <c r="I11" i="3"/>
  <c r="H12" i="3"/>
  <c r="J10" i="10"/>
  <c r="I9" i="3"/>
  <c r="J11" i="10"/>
  <c r="J11" i="5" s="1"/>
  <c r="I10" i="3"/>
  <c r="I16" i="13" l="1"/>
  <c r="I14" i="5"/>
  <c r="I16" i="5" s="1"/>
  <c r="I14" i="12"/>
  <c r="I16" i="12" s="1"/>
  <c r="I14" i="13"/>
  <c r="J10" i="5"/>
  <c r="J14" i="11"/>
  <c r="J13" i="5"/>
  <c r="K11" i="10"/>
  <c r="K11" i="5" s="1"/>
  <c r="J10" i="3"/>
  <c r="I12" i="3"/>
  <c r="K10" i="10"/>
  <c r="J9" i="3"/>
  <c r="K12" i="10"/>
  <c r="K12" i="5" s="1"/>
  <c r="J11" i="3"/>
  <c r="J14" i="5" l="1"/>
  <c r="J16" i="5" s="1"/>
  <c r="J14" i="13"/>
  <c r="J14" i="12"/>
  <c r="J16" i="12" s="1"/>
  <c r="J16" i="13"/>
  <c r="K10" i="5"/>
  <c r="K14" i="11"/>
  <c r="K13" i="5"/>
  <c r="L12" i="10"/>
  <c r="L12" i="5" s="1"/>
  <c r="K11" i="3"/>
  <c r="J12" i="3"/>
  <c r="L10" i="10"/>
  <c r="K9" i="3"/>
  <c r="L11" i="10"/>
  <c r="L11" i="5" s="1"/>
  <c r="K10" i="3"/>
  <c r="K16" i="13" l="1"/>
  <c r="K14" i="5"/>
  <c r="K14" i="12"/>
  <c r="K16" i="12" s="1"/>
  <c r="K14" i="13"/>
  <c r="K16" i="5"/>
  <c r="L10" i="5"/>
  <c r="L14" i="11"/>
  <c r="L13" i="5"/>
  <c r="K12" i="3"/>
  <c r="M11" i="10"/>
  <c r="M11" i="5" s="1"/>
  <c r="L10" i="3"/>
  <c r="M10" i="10"/>
  <c r="L9" i="3"/>
  <c r="M12" i="10"/>
  <c r="M12" i="5" s="1"/>
  <c r="L11" i="3"/>
  <c r="L14" i="5" l="1"/>
  <c r="L16" i="5" s="1"/>
  <c r="L14" i="13"/>
  <c r="L16" i="13" s="1"/>
  <c r="L14" i="12"/>
  <c r="L16" i="12" s="1"/>
  <c r="M10" i="5"/>
  <c r="M14" i="11"/>
  <c r="M13" i="5"/>
  <c r="L12" i="3"/>
  <c r="B17" i="10"/>
  <c r="M9" i="3"/>
  <c r="M11" i="3"/>
  <c r="B19" i="10"/>
  <c r="M10" i="3"/>
  <c r="B18" i="10"/>
  <c r="B19" i="11" s="1"/>
  <c r="M16" i="13" l="1"/>
  <c r="M14" i="5"/>
  <c r="M14" i="12"/>
  <c r="M16" i="12" s="1"/>
  <c r="M14" i="13"/>
  <c r="B20" i="5"/>
  <c r="B20" i="12"/>
  <c r="B20" i="13"/>
  <c r="B22" i="11"/>
  <c r="B21" i="11"/>
  <c r="B20" i="11"/>
  <c r="B21" i="5" s="1"/>
  <c r="M16" i="5"/>
  <c r="B18" i="11"/>
  <c r="M12" i="3"/>
  <c r="C18" i="10"/>
  <c r="C19" i="11" s="1"/>
  <c r="C19" i="10"/>
  <c r="C20" i="11" s="1"/>
  <c r="C17" i="10"/>
  <c r="B15" i="3"/>
  <c r="C20" i="13" l="1"/>
  <c r="C20" i="12"/>
  <c r="B19" i="5"/>
  <c r="B19" i="12"/>
  <c r="B19" i="13"/>
  <c r="C21" i="12"/>
  <c r="C21" i="13"/>
  <c r="B23" i="12"/>
  <c r="B23" i="13"/>
  <c r="B21" i="12"/>
  <c r="B21" i="13"/>
  <c r="C22" i="11"/>
  <c r="C18" i="11"/>
  <c r="C21" i="11"/>
  <c r="B22" i="13"/>
  <c r="B22" i="12"/>
  <c r="B22" i="5"/>
  <c r="B23" i="5"/>
  <c r="D17" i="10"/>
  <c r="B18" i="3"/>
  <c r="D18" i="10"/>
  <c r="C20" i="5"/>
  <c r="D19" i="10"/>
  <c r="C21" i="5"/>
  <c r="B25" i="5" l="1"/>
  <c r="C22" i="13"/>
  <c r="C22" i="12"/>
  <c r="C19" i="13"/>
  <c r="C19" i="12"/>
  <c r="C23" i="13"/>
  <c r="C23" i="12"/>
  <c r="C25" i="12" s="1"/>
  <c r="B25" i="12"/>
  <c r="D19" i="11"/>
  <c r="D22" i="11"/>
  <c r="D23" i="5" s="1"/>
  <c r="D18" i="11"/>
  <c r="D19" i="5" s="1"/>
  <c r="D21" i="11"/>
  <c r="D22" i="5" s="1"/>
  <c r="C22" i="5"/>
  <c r="B25" i="13"/>
  <c r="D20" i="11"/>
  <c r="C23" i="5"/>
  <c r="C18" i="3"/>
  <c r="C19" i="5"/>
  <c r="E19" i="10"/>
  <c r="E18" i="10"/>
  <c r="E17" i="10"/>
  <c r="D21" i="12" l="1"/>
  <c r="D21" i="13"/>
  <c r="D21" i="5"/>
  <c r="D25" i="5" s="1"/>
  <c r="D20" i="13"/>
  <c r="D20" i="12"/>
  <c r="C25" i="13"/>
  <c r="C25" i="5"/>
  <c r="D22" i="13"/>
  <c r="D22" i="12"/>
  <c r="D20" i="5"/>
  <c r="E20" i="11"/>
  <c r="E21" i="5" s="1"/>
  <c r="E21" i="11"/>
  <c r="E22" i="5" s="1"/>
  <c r="E22" i="11"/>
  <c r="E23" i="5" s="1"/>
  <c r="E18" i="11"/>
  <c r="E19" i="5" s="1"/>
  <c r="D19" i="12"/>
  <c r="D19" i="13"/>
  <c r="E19" i="11"/>
  <c r="D23" i="13"/>
  <c r="D23" i="12"/>
  <c r="F18" i="10"/>
  <c r="F17" i="10"/>
  <c r="D18" i="3"/>
  <c r="F19" i="10"/>
  <c r="F20" i="11" l="1"/>
  <c r="F21" i="5" s="1"/>
  <c r="D25" i="12"/>
  <c r="E22" i="12"/>
  <c r="E22" i="13"/>
  <c r="F18" i="11"/>
  <c r="F21" i="11"/>
  <c r="F22" i="5" s="1"/>
  <c r="F22" i="11"/>
  <c r="E21" i="13"/>
  <c r="E21" i="12"/>
  <c r="E23" i="13"/>
  <c r="E23" i="12"/>
  <c r="E19" i="12"/>
  <c r="E19" i="13"/>
  <c r="D25" i="13"/>
  <c r="E20" i="12"/>
  <c r="E20" i="13"/>
  <c r="F19" i="11"/>
  <c r="F20" i="5" s="1"/>
  <c r="E20" i="5"/>
  <c r="E25" i="5" s="1"/>
  <c r="G19" i="10"/>
  <c r="G17" i="10"/>
  <c r="E18" i="3"/>
  <c r="G18" i="10"/>
  <c r="F23" i="12" l="1"/>
  <c r="F23" i="13"/>
  <c r="F19" i="13"/>
  <c r="F19" i="12"/>
  <c r="E25" i="13"/>
  <c r="G19" i="11"/>
  <c r="G20" i="5" s="1"/>
  <c r="G20" i="11"/>
  <c r="E25" i="12"/>
  <c r="F22" i="13"/>
  <c r="F22" i="12"/>
  <c r="F23" i="5"/>
  <c r="F25" i="5" s="1"/>
  <c r="F19" i="5"/>
  <c r="G21" i="11"/>
  <c r="G22" i="5" s="1"/>
  <c r="G22" i="11"/>
  <c r="G23" i="5" s="1"/>
  <c r="G18" i="11"/>
  <c r="G19" i="5" s="1"/>
  <c r="F20" i="12"/>
  <c r="F20" i="13"/>
  <c r="F21" i="13"/>
  <c r="F21" i="12"/>
  <c r="H18" i="10"/>
  <c r="H17" i="10"/>
  <c r="F18" i="3"/>
  <c r="H19" i="10"/>
  <c r="F25" i="13" l="1"/>
  <c r="H20" i="11"/>
  <c r="H21" i="5" s="1"/>
  <c r="G19" i="12"/>
  <c r="G19" i="13"/>
  <c r="G21" i="13"/>
  <c r="G21" i="12"/>
  <c r="G21" i="5"/>
  <c r="G25" i="5" s="1"/>
  <c r="G22" i="13"/>
  <c r="G22" i="12"/>
  <c r="G20" i="13"/>
  <c r="G20" i="12"/>
  <c r="H18" i="11"/>
  <c r="H19" i="5" s="1"/>
  <c r="H21" i="11"/>
  <c r="H22" i="5" s="1"/>
  <c r="H22" i="11"/>
  <c r="G23" i="12"/>
  <c r="G23" i="13"/>
  <c r="H19" i="11"/>
  <c r="H20" i="5" s="1"/>
  <c r="F25" i="12"/>
  <c r="G18" i="3"/>
  <c r="I19" i="10"/>
  <c r="I17" i="10"/>
  <c r="I18" i="10"/>
  <c r="G25" i="13" l="1"/>
  <c r="I20" i="11"/>
  <c r="I21" i="5" s="1"/>
  <c r="H23" i="13"/>
  <c r="H23" i="12"/>
  <c r="H22" i="12"/>
  <c r="H22" i="13"/>
  <c r="H21" i="13"/>
  <c r="H21" i="12"/>
  <c r="H23" i="5"/>
  <c r="H25" i="5" s="1"/>
  <c r="I19" i="11"/>
  <c r="I20" i="5" s="1"/>
  <c r="H19" i="12"/>
  <c r="H19" i="13"/>
  <c r="I22" i="11"/>
  <c r="I23" i="5" s="1"/>
  <c r="I18" i="11"/>
  <c r="I21" i="11"/>
  <c r="I22" i="5" s="1"/>
  <c r="H20" i="13"/>
  <c r="H20" i="12"/>
  <c r="G25" i="12"/>
  <c r="H18" i="3"/>
  <c r="J18" i="10"/>
  <c r="J19" i="10"/>
  <c r="J17" i="10"/>
  <c r="H25" i="12" l="1"/>
  <c r="H25" i="13"/>
  <c r="J19" i="11"/>
  <c r="I19" i="13"/>
  <c r="I19" i="12"/>
  <c r="I23" i="13"/>
  <c r="I23" i="12"/>
  <c r="J18" i="11"/>
  <c r="J21" i="11"/>
  <c r="J22" i="11"/>
  <c r="I19" i="5"/>
  <c r="I25" i="5" s="1"/>
  <c r="I21" i="12"/>
  <c r="I21" i="13"/>
  <c r="J20" i="11"/>
  <c r="I20" i="12"/>
  <c r="I20" i="13"/>
  <c r="I22" i="13"/>
  <c r="I22" i="12"/>
  <c r="K19" i="10"/>
  <c r="K17" i="10"/>
  <c r="I18" i="3"/>
  <c r="K18" i="10"/>
  <c r="I25" i="13" l="1"/>
  <c r="K22" i="11"/>
  <c r="K18" i="11"/>
  <c r="K19" i="5" s="1"/>
  <c r="K21" i="11"/>
  <c r="K22" i="5" s="1"/>
  <c r="J23" i="13"/>
  <c r="J23" i="12"/>
  <c r="J22" i="12"/>
  <c r="J22" i="13"/>
  <c r="K20" i="11"/>
  <c r="J19" i="13"/>
  <c r="J19" i="12"/>
  <c r="J22" i="5"/>
  <c r="J21" i="13"/>
  <c r="J21" i="12"/>
  <c r="J23" i="5"/>
  <c r="J21" i="5"/>
  <c r="K19" i="11"/>
  <c r="J19" i="5"/>
  <c r="I25" i="12"/>
  <c r="J20" i="12"/>
  <c r="J20" i="13"/>
  <c r="J20" i="5"/>
  <c r="K23" i="5"/>
  <c r="J18" i="3"/>
  <c r="L18" i="10"/>
  <c r="L17" i="10"/>
  <c r="L19" i="10"/>
  <c r="J25" i="12" l="1"/>
  <c r="J25" i="5"/>
  <c r="J25" i="13"/>
  <c r="K20" i="12"/>
  <c r="K20" i="13"/>
  <c r="L22" i="11"/>
  <c r="L23" i="5" s="1"/>
  <c r="L18" i="11"/>
  <c r="L19" i="5" s="1"/>
  <c r="L21" i="11"/>
  <c r="L22" i="5" s="1"/>
  <c r="L19" i="11"/>
  <c r="L20" i="11"/>
  <c r="K20" i="5"/>
  <c r="K23" i="13"/>
  <c r="K23" i="12"/>
  <c r="K22" i="12"/>
  <c r="K22" i="13"/>
  <c r="K19" i="13"/>
  <c r="K19" i="12"/>
  <c r="K21" i="13"/>
  <c r="K21" i="12"/>
  <c r="K21" i="5"/>
  <c r="K18" i="3"/>
  <c r="M17" i="10"/>
  <c r="M19" i="10"/>
  <c r="M18" i="10"/>
  <c r="K25" i="5" l="1"/>
  <c r="K25" i="13"/>
  <c r="L20" i="13"/>
  <c r="L20" i="12"/>
  <c r="L20" i="5"/>
  <c r="M19" i="11"/>
  <c r="M20" i="5" s="1"/>
  <c r="L22" i="13"/>
  <c r="L22" i="12"/>
  <c r="L23" i="13"/>
  <c r="L23" i="12"/>
  <c r="L21" i="13"/>
  <c r="L21" i="12"/>
  <c r="L19" i="12"/>
  <c r="L19" i="13"/>
  <c r="M20" i="11"/>
  <c r="M21" i="11"/>
  <c r="M22" i="11"/>
  <c r="M18" i="11"/>
  <c r="K25" i="12"/>
  <c r="L21" i="5"/>
  <c r="L18" i="3"/>
  <c r="B26" i="10"/>
  <c r="B25" i="10"/>
  <c r="B24" i="10"/>
  <c r="B21" i="3" s="1"/>
  <c r="L25" i="5" l="1"/>
  <c r="L25" i="13"/>
  <c r="M19" i="12"/>
  <c r="M19" i="13"/>
  <c r="M22" i="12"/>
  <c r="M22" i="13"/>
  <c r="M21" i="13"/>
  <c r="M21" i="12"/>
  <c r="M19" i="5"/>
  <c r="M21" i="5"/>
  <c r="M20" i="12"/>
  <c r="M20" i="13"/>
  <c r="B27" i="11"/>
  <c r="M23" i="13"/>
  <c r="M23" i="12"/>
  <c r="M22" i="5"/>
  <c r="M23" i="5"/>
  <c r="B26" i="11"/>
  <c r="L25" i="12"/>
  <c r="B25" i="11"/>
  <c r="B29" i="11"/>
  <c r="B28" i="11"/>
  <c r="C25" i="10"/>
  <c r="C24" i="10"/>
  <c r="M18" i="3"/>
  <c r="C26" i="10"/>
  <c r="B24" i="3" l="1"/>
  <c r="M25" i="5"/>
  <c r="M25" i="13"/>
  <c r="C27" i="11"/>
  <c r="B29" i="5"/>
  <c r="B29" i="13"/>
  <c r="B29" i="12"/>
  <c r="M25" i="12"/>
  <c r="C26" i="11"/>
  <c r="C24" i="3"/>
  <c r="B31" i="5"/>
  <c r="B31" i="13"/>
  <c r="B31" i="12"/>
  <c r="B32" i="5"/>
  <c r="B32" i="13"/>
  <c r="B32" i="12"/>
  <c r="B28" i="5"/>
  <c r="B28" i="13"/>
  <c r="B28" i="12"/>
  <c r="B30" i="5"/>
  <c r="B30" i="12"/>
  <c r="B30" i="13"/>
  <c r="C25" i="11"/>
  <c r="C29" i="11"/>
  <c r="C28" i="11"/>
  <c r="D24" i="10"/>
  <c r="D26" i="10"/>
  <c r="D25" i="10"/>
  <c r="B34" i="13" l="1"/>
  <c r="B34" i="5"/>
  <c r="C31" i="5"/>
  <c r="C31" i="13"/>
  <c r="C31" i="12"/>
  <c r="C30" i="5"/>
  <c r="C30" i="13"/>
  <c r="C30" i="12"/>
  <c r="C32" i="5"/>
  <c r="C32" i="12"/>
  <c r="C32" i="13"/>
  <c r="C28" i="5"/>
  <c r="C28" i="13"/>
  <c r="C28" i="12"/>
  <c r="C29" i="5"/>
  <c r="C29" i="12"/>
  <c r="C29" i="13"/>
  <c r="B34" i="12"/>
  <c r="D26" i="11"/>
  <c r="D27" i="11"/>
  <c r="D25" i="11"/>
  <c r="D29" i="11"/>
  <c r="D28" i="11"/>
  <c r="E26" i="10"/>
  <c r="E25" i="10"/>
  <c r="E24" i="10"/>
  <c r="C34" i="13" l="1"/>
  <c r="C34" i="12"/>
  <c r="D24" i="3"/>
  <c r="C34" i="5"/>
  <c r="D32" i="5"/>
  <c r="D32" i="13"/>
  <c r="D32" i="12"/>
  <c r="E27" i="11"/>
  <c r="E24" i="3"/>
  <c r="D28" i="5"/>
  <c r="D28" i="13"/>
  <c r="D28" i="12"/>
  <c r="D30" i="5"/>
  <c r="D30" i="12"/>
  <c r="D30" i="13"/>
  <c r="E26" i="11"/>
  <c r="D29" i="5"/>
  <c r="D29" i="13"/>
  <c r="D29" i="12"/>
  <c r="D31" i="5"/>
  <c r="D31" i="12"/>
  <c r="D31" i="13"/>
  <c r="E25" i="11"/>
  <c r="E29" i="11"/>
  <c r="E28" i="11"/>
  <c r="F25" i="10"/>
  <c r="F24" i="10"/>
  <c r="F26" i="10"/>
  <c r="D34" i="13" l="1"/>
  <c r="D34" i="5"/>
  <c r="E30" i="5"/>
  <c r="E30" i="13"/>
  <c r="E30" i="12"/>
  <c r="F27" i="11"/>
  <c r="F26" i="11"/>
  <c r="F24" i="3"/>
  <c r="D34" i="12"/>
  <c r="E31" i="5"/>
  <c r="E31" i="13"/>
  <c r="E31" i="12"/>
  <c r="E32" i="5"/>
  <c r="E32" i="12"/>
  <c r="E32" i="13"/>
  <c r="E28" i="5"/>
  <c r="E34" i="5" s="1"/>
  <c r="E28" i="13"/>
  <c r="E28" i="12"/>
  <c r="E29" i="5"/>
  <c r="E29" i="12"/>
  <c r="E29" i="13"/>
  <c r="F25" i="11"/>
  <c r="F29" i="11"/>
  <c r="F28" i="11"/>
  <c r="G24" i="10"/>
  <c r="G26" i="10"/>
  <c r="G25" i="10"/>
  <c r="E34" i="12" l="1"/>
  <c r="E34" i="13"/>
  <c r="F32" i="5"/>
  <c r="F32" i="13"/>
  <c r="F32" i="12"/>
  <c r="F28" i="5"/>
  <c r="F28" i="12"/>
  <c r="F28" i="13"/>
  <c r="F29" i="5"/>
  <c r="F29" i="12"/>
  <c r="F29" i="13"/>
  <c r="F30" i="5"/>
  <c r="F30" i="13"/>
  <c r="F30" i="12"/>
  <c r="G27" i="11"/>
  <c r="G24" i="3"/>
  <c r="F31" i="5"/>
  <c r="F31" i="13"/>
  <c r="F31" i="12"/>
  <c r="G26" i="11"/>
  <c r="G25" i="11"/>
  <c r="G29" i="11"/>
  <c r="G28" i="11"/>
  <c r="H26" i="10"/>
  <c r="H25" i="10"/>
  <c r="H24" i="10"/>
  <c r="F34" i="5" l="1"/>
  <c r="F34" i="13"/>
  <c r="G29" i="5"/>
  <c r="G29" i="13"/>
  <c r="G29" i="12"/>
  <c r="H27" i="11"/>
  <c r="G31" i="5"/>
  <c r="G31" i="13"/>
  <c r="G31" i="12"/>
  <c r="G32" i="5"/>
  <c r="G32" i="12"/>
  <c r="G32" i="13"/>
  <c r="G28" i="5"/>
  <c r="G28" i="13"/>
  <c r="G28" i="12"/>
  <c r="G30" i="5"/>
  <c r="G30" i="12"/>
  <c r="G30" i="13"/>
  <c r="F34" i="12"/>
  <c r="H26" i="11"/>
  <c r="H25" i="11"/>
  <c r="H29" i="11"/>
  <c r="H28" i="11"/>
  <c r="I25" i="10"/>
  <c r="I24" i="10"/>
  <c r="I26" i="10"/>
  <c r="H24" i="3" l="1"/>
  <c r="G34" i="12"/>
  <c r="G34" i="13"/>
  <c r="G34" i="5"/>
  <c r="H29" i="5"/>
  <c r="H29" i="12"/>
  <c r="H29" i="13"/>
  <c r="I26" i="11"/>
  <c r="H31" i="5"/>
  <c r="H31" i="12"/>
  <c r="H31" i="13"/>
  <c r="H32" i="5"/>
  <c r="H32" i="13"/>
  <c r="H32" i="12"/>
  <c r="H28" i="5"/>
  <c r="H28" i="12"/>
  <c r="H28" i="13"/>
  <c r="H30" i="5"/>
  <c r="H30" i="12"/>
  <c r="H30" i="13"/>
  <c r="I27" i="11"/>
  <c r="I25" i="11"/>
  <c r="I29" i="11"/>
  <c r="I28" i="11"/>
  <c r="J24" i="10"/>
  <c r="J26" i="10"/>
  <c r="J25" i="10"/>
  <c r="I24" i="3" l="1"/>
  <c r="H34" i="13"/>
  <c r="H34" i="5"/>
  <c r="I30" i="5"/>
  <c r="I30" i="13"/>
  <c r="I30" i="12"/>
  <c r="J27" i="11"/>
  <c r="I31" i="5"/>
  <c r="I31" i="13"/>
  <c r="I31" i="12"/>
  <c r="I32" i="5"/>
  <c r="I32" i="13"/>
  <c r="I32" i="12"/>
  <c r="I28" i="5"/>
  <c r="I28" i="12"/>
  <c r="I28" i="13"/>
  <c r="H34" i="12"/>
  <c r="I29" i="5"/>
  <c r="I29" i="12"/>
  <c r="I29" i="13"/>
  <c r="J26" i="11"/>
  <c r="J24" i="3"/>
  <c r="J25" i="11"/>
  <c r="J29" i="11"/>
  <c r="J28" i="11"/>
  <c r="K26" i="10"/>
  <c r="K25" i="10"/>
  <c r="K24" i="10"/>
  <c r="I34" i="5" l="1"/>
  <c r="I34" i="13"/>
  <c r="J29" i="5"/>
  <c r="J29" i="12"/>
  <c r="J29" i="13"/>
  <c r="K26" i="11"/>
  <c r="I34" i="12"/>
  <c r="J31" i="5"/>
  <c r="J31" i="13"/>
  <c r="J31" i="12"/>
  <c r="J32" i="5"/>
  <c r="J32" i="13"/>
  <c r="J32" i="12"/>
  <c r="J28" i="5"/>
  <c r="J28" i="13"/>
  <c r="J28" i="12"/>
  <c r="K27" i="11"/>
  <c r="J30" i="5"/>
  <c r="J30" i="12"/>
  <c r="J30" i="13"/>
  <c r="K25" i="11"/>
  <c r="K29" i="11"/>
  <c r="K28" i="11"/>
  <c r="L25" i="10"/>
  <c r="L24" i="10"/>
  <c r="L26" i="10"/>
  <c r="K24" i="3" l="1"/>
  <c r="J34" i="13"/>
  <c r="J34" i="5"/>
  <c r="L26" i="11"/>
  <c r="K31" i="5"/>
  <c r="K31" i="12"/>
  <c r="K31" i="13"/>
  <c r="K30" i="5"/>
  <c r="K30" i="12"/>
  <c r="K30" i="13"/>
  <c r="K32" i="5"/>
  <c r="K32" i="12"/>
  <c r="K32" i="13"/>
  <c r="J34" i="12"/>
  <c r="K28" i="5"/>
  <c r="K28" i="12"/>
  <c r="K28" i="13"/>
  <c r="K29" i="5"/>
  <c r="K29" i="12"/>
  <c r="K29" i="13"/>
  <c r="L27" i="11"/>
  <c r="L25" i="11"/>
  <c r="L29" i="11"/>
  <c r="L28" i="11"/>
  <c r="M24" i="10"/>
  <c r="M26" i="10"/>
  <c r="M25" i="10"/>
  <c r="L24" i="3" l="1"/>
  <c r="K34" i="5"/>
  <c r="K34" i="13"/>
  <c r="L30" i="5"/>
  <c r="L30" i="13"/>
  <c r="L30" i="12"/>
  <c r="M27" i="11"/>
  <c r="M24" i="3"/>
  <c r="L29" i="5"/>
  <c r="L29" i="12"/>
  <c r="L29" i="13"/>
  <c r="L31" i="5"/>
  <c r="L31" i="13"/>
  <c r="L31" i="12"/>
  <c r="L32" i="5"/>
  <c r="L32" i="12"/>
  <c r="L32" i="13"/>
  <c r="L28" i="5"/>
  <c r="L28" i="12"/>
  <c r="L28" i="13"/>
  <c r="K34" i="12"/>
  <c r="M26" i="11"/>
  <c r="M25" i="11"/>
  <c r="M29" i="11"/>
  <c r="M28" i="11"/>
  <c r="L34" i="13" l="1"/>
  <c r="L34" i="5"/>
  <c r="M30" i="5"/>
  <c r="M30" i="12"/>
  <c r="M30" i="13"/>
  <c r="M31" i="5"/>
  <c r="M31" i="12"/>
  <c r="M31" i="13"/>
  <c r="M32" i="5"/>
  <c r="M32" i="12"/>
  <c r="M32" i="13"/>
  <c r="L34" i="12"/>
  <c r="M28" i="5"/>
  <c r="M28" i="13"/>
  <c r="M28" i="12"/>
  <c r="M29" i="5"/>
  <c r="M29" i="13"/>
  <c r="M29" i="12"/>
  <c r="M34" i="13" l="1"/>
  <c r="M34" i="5"/>
  <c r="M34" i="12"/>
</calcChain>
</file>

<file path=xl/comments1.xml><?xml version="1.0" encoding="utf-8"?>
<comments xmlns="http://schemas.openxmlformats.org/spreadsheetml/2006/main">
  <authors>
    <author>Kevin</author>
  </authors>
  <commentList>
    <comment ref="B13" authorId="0">
      <text>
        <r>
          <rPr>
            <sz val="9"/>
            <color indexed="81"/>
            <rFont val="Tahoma"/>
            <family val="2"/>
          </rPr>
          <t xml:space="preserve">Without formula
Because of redudance
</t>
        </r>
      </text>
    </comment>
  </commentList>
</comments>
</file>

<file path=xl/sharedStrings.xml><?xml version="1.0" encoding="utf-8"?>
<sst xmlns="http://schemas.openxmlformats.org/spreadsheetml/2006/main" count="426" uniqueCount="87">
  <si>
    <t>Constant costs</t>
  </si>
  <si>
    <t>Hardware</t>
  </si>
  <si>
    <t>Quantity</t>
  </si>
  <si>
    <t>Product description</t>
  </si>
  <si>
    <t>Estimated costs</t>
  </si>
  <si>
    <t>Software</t>
  </si>
  <si>
    <t>Product name</t>
  </si>
  <si>
    <t>Variable costs</t>
  </si>
  <si>
    <t>Package details</t>
  </si>
  <si>
    <t>Total costs</t>
  </si>
  <si>
    <t>Package 1 - Bronze</t>
  </si>
  <si>
    <t>Package 2 - Silver</t>
  </si>
  <si>
    <t>Package 3 - Gold</t>
  </si>
  <si>
    <t>CPU</t>
  </si>
  <si>
    <t>RAM</t>
  </si>
  <si>
    <t>Disk allocation</t>
  </si>
  <si>
    <t>CPU:</t>
  </si>
  <si>
    <t>RAM:</t>
  </si>
  <si>
    <t>Disk allocation:</t>
  </si>
  <si>
    <t>Host hardware:</t>
  </si>
  <si>
    <t>Package price:</t>
  </si>
  <si>
    <t>Specs</t>
  </si>
  <si>
    <t>Description</t>
  </si>
  <si>
    <t>Variable costs:</t>
  </si>
  <si>
    <t>This will be one core of the host hardware machine.</t>
  </si>
  <si>
    <t>Contribution margin:</t>
  </si>
  <si>
    <t>Hardware details</t>
  </si>
  <si>
    <t>Host machines</t>
  </si>
  <si>
    <t>Hardware name</t>
  </si>
  <si>
    <t>Price to buy</t>
  </si>
  <si>
    <t>Specifications</t>
  </si>
  <si>
    <t>Network pheripicals</t>
  </si>
  <si>
    <t>№ virtual machines</t>
  </si>
  <si>
    <t>Router</t>
  </si>
  <si>
    <t>Switch</t>
  </si>
  <si>
    <t>Hardware firewall</t>
  </si>
  <si>
    <t>Sales forecast</t>
  </si>
  <si>
    <t>Total revenue</t>
  </si>
  <si>
    <t>Financial plan overview</t>
  </si>
  <si>
    <t>Other specifications</t>
  </si>
  <si>
    <t>January</t>
  </si>
  <si>
    <t>February</t>
  </si>
  <si>
    <t>March</t>
  </si>
  <si>
    <t>April</t>
  </si>
  <si>
    <t>May</t>
  </si>
  <si>
    <t>June</t>
  </si>
  <si>
    <t>July</t>
  </si>
  <si>
    <t>August</t>
  </si>
  <si>
    <t>September</t>
  </si>
  <si>
    <t>October</t>
  </si>
  <si>
    <t>November</t>
  </si>
  <si>
    <t>December</t>
  </si>
  <si>
    <t>Bronze</t>
  </si>
  <si>
    <t>Silver</t>
  </si>
  <si>
    <t>Gold</t>
  </si>
  <si>
    <t>Year 1</t>
  </si>
  <si>
    <t>Year 2</t>
  </si>
  <si>
    <t>Year 3</t>
  </si>
  <si>
    <t>Variable costs per virtual server (direct costing method)</t>
  </si>
  <si>
    <t>Supports X virtual servers</t>
  </si>
  <si>
    <t>Costs per device</t>
  </si>
  <si>
    <t>Costs per virtual server</t>
  </si>
  <si>
    <t>Physical server Bronze</t>
  </si>
  <si>
    <t>Physical server Silver</t>
  </si>
  <si>
    <t>Physical server Gold</t>
  </si>
  <si>
    <t>Total</t>
  </si>
  <si>
    <t>Totals</t>
  </si>
  <si>
    <t>Total constant costs</t>
  </si>
  <si>
    <t>Total new sold packages</t>
  </si>
  <si>
    <t>Web server + with order system</t>
  </si>
  <si>
    <t>n/a</t>
  </si>
  <si>
    <t>Dedicated web server</t>
  </si>
  <si>
    <t>Hardware demands</t>
  </si>
  <si>
    <t>Bronze physical</t>
  </si>
  <si>
    <t>Silver physical</t>
  </si>
  <si>
    <t>Gold physical</t>
  </si>
  <si>
    <t>Routers</t>
  </si>
  <si>
    <t>Switches</t>
  </si>
  <si>
    <t>Dell server</t>
  </si>
  <si>
    <t>SAN</t>
  </si>
  <si>
    <t>2 Intel Xeon (20 cores)</t>
  </si>
  <si>
    <t>Costs per virtual server per month</t>
  </si>
  <si>
    <t>(based on 3 year write-off)</t>
  </si>
  <si>
    <t>Per month</t>
  </si>
  <si>
    <t>Total p/m</t>
  </si>
  <si>
    <t>Average use per server</t>
  </si>
  <si>
    <t>Total expenses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</si>
</sst>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 &quot;Gigabyte&quot;"/>
    <numFmt numFmtId="165" formatCode="0.00\ &quot;Ghz&quot;"/>
    <numFmt numFmtId="166" formatCode="0.0\ &quot;Ghz&quot;"/>
    <numFmt numFmtId="167" formatCode="&quot;€&quot;\ #,##0.00"/>
    <numFmt numFmtId="168" formatCode="&quot;€&quot;\ #,##0"/>
    <numFmt numFmtId="169" formatCode="&quot;€&quot;\ #,##0;[Red]&quot;€&quot;\ #,##0"/>
  </numFmts>
  <fonts count="6" x14ac:knownFonts="1">
    <font>
      <sz val="11"/>
      <color theme="1"/>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1"/>
      <color theme="1"/>
      <name val="Calibri"/>
      <family val="2"/>
      <scheme val="minor"/>
    </font>
    <font>
      <sz val="9"/>
      <color indexed="81"/>
      <name val="Tahoma"/>
      <family val="2"/>
    </font>
  </fonts>
  <fills count="19">
    <fill>
      <patternFill patternType="none"/>
    </fill>
    <fill>
      <patternFill patternType="gray125"/>
    </fill>
    <fill>
      <patternFill patternType="solid">
        <fgColor theme="3"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5"/>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79998168889431442"/>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dotted">
        <color indexed="64"/>
      </right>
      <top/>
      <bottom style="dotted">
        <color indexed="64"/>
      </bottom>
      <diagonal/>
    </border>
    <border>
      <left style="dotted">
        <color indexed="64"/>
      </left>
      <right style="medium">
        <color indexed="64"/>
      </right>
      <top/>
      <bottom style="dotted">
        <color indexed="64"/>
      </bottom>
      <diagonal/>
    </border>
    <border>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right style="dotted">
        <color indexed="64"/>
      </right>
      <top style="dotted">
        <color indexed="64"/>
      </top>
      <bottom style="medium">
        <color indexed="64"/>
      </bottom>
      <diagonal/>
    </border>
    <border>
      <left/>
      <right style="dotted">
        <color indexed="64"/>
      </right>
      <top style="dotted">
        <color indexed="64"/>
      </top>
      <bottom/>
      <diagonal/>
    </border>
    <border>
      <left style="dotted">
        <color indexed="64"/>
      </left>
      <right style="medium">
        <color indexed="64"/>
      </right>
      <top style="dotted">
        <color indexed="64"/>
      </top>
      <bottom/>
      <diagonal/>
    </border>
    <border>
      <left/>
      <right style="dotted">
        <color indexed="64"/>
      </right>
      <top/>
      <bottom/>
      <diagonal/>
    </border>
    <border>
      <left style="dotted">
        <color indexed="64"/>
      </left>
      <right style="medium">
        <color indexed="64"/>
      </right>
      <top/>
      <bottom/>
      <diagonal/>
    </border>
    <border>
      <left style="dotted">
        <color indexed="64"/>
      </left>
      <right style="medium">
        <color indexed="64"/>
      </right>
      <top/>
      <bottom style="medium">
        <color indexed="64"/>
      </bottom>
      <diagonal/>
    </border>
  </borders>
  <cellStyleXfs count="3">
    <xf numFmtId="0" fontId="0" fillId="0" borderId="0"/>
    <xf numFmtId="0" fontId="4" fillId="15" borderId="0" applyNumberFormat="0" applyBorder="0" applyAlignment="0" applyProtection="0"/>
    <xf numFmtId="9" fontId="4" fillId="0" borderId="0" applyFont="0" applyFill="0" applyBorder="0" applyAlignment="0" applyProtection="0"/>
  </cellStyleXfs>
  <cellXfs count="89">
    <xf numFmtId="0" fontId="0" fillId="0" borderId="0" xfId="0"/>
    <xf numFmtId="0" fontId="2" fillId="0" borderId="0" xfId="0" applyFont="1"/>
    <xf numFmtId="0" fontId="3" fillId="0" borderId="0" xfId="0" applyFont="1"/>
    <xf numFmtId="0" fontId="0" fillId="0" borderId="0" xfId="0" applyFont="1"/>
    <xf numFmtId="49" fontId="0" fillId="0" borderId="0" xfId="0" applyNumberFormat="1" applyAlignment="1">
      <alignment wrapText="1"/>
    </xf>
    <xf numFmtId="49" fontId="0" fillId="0" borderId="0" xfId="0" applyNumberFormat="1" applyFont="1" applyAlignment="1">
      <alignment wrapText="1"/>
    </xf>
    <xf numFmtId="0" fontId="2" fillId="2" borderId="1" xfId="0" applyFont="1" applyFill="1" applyBorder="1"/>
    <xf numFmtId="0" fontId="0" fillId="2" borderId="2" xfId="0" applyFill="1" applyBorder="1"/>
    <xf numFmtId="49" fontId="0" fillId="2" borderId="2" xfId="0" applyNumberFormat="1" applyFill="1" applyBorder="1" applyAlignment="1">
      <alignment wrapText="1"/>
    </xf>
    <xf numFmtId="49" fontId="0" fillId="2" borderId="3" xfId="0" applyNumberFormat="1" applyFill="1" applyBorder="1" applyAlignment="1">
      <alignment wrapText="1"/>
    </xf>
    <xf numFmtId="0" fontId="0" fillId="3" borderId="4" xfId="0" applyFont="1" applyFill="1" applyBorder="1"/>
    <xf numFmtId="0" fontId="0" fillId="3" borderId="0" xfId="0" applyFont="1" applyFill="1" applyBorder="1"/>
    <xf numFmtId="0" fontId="0" fillId="3" borderId="5" xfId="0" applyFont="1" applyFill="1" applyBorder="1"/>
    <xf numFmtId="0" fontId="0" fillId="3" borderId="6" xfId="0" applyFill="1" applyBorder="1"/>
    <xf numFmtId="49" fontId="0" fillId="4" borderId="8" xfId="0" applyNumberFormat="1" applyFont="1" applyFill="1" applyBorder="1" applyAlignment="1">
      <alignment wrapText="1"/>
    </xf>
    <xf numFmtId="49" fontId="0" fillId="4" borderId="10" xfId="0" applyNumberFormat="1" applyFont="1" applyFill="1" applyBorder="1" applyAlignment="1">
      <alignment wrapText="1"/>
    </xf>
    <xf numFmtId="49" fontId="0" fillId="4" borderId="13" xfId="0" applyNumberFormat="1" applyFont="1" applyFill="1" applyBorder="1" applyAlignment="1">
      <alignment wrapText="1"/>
    </xf>
    <xf numFmtId="49" fontId="0" fillId="4" borderId="14" xfId="0" applyNumberFormat="1" applyFont="1" applyFill="1" applyBorder="1" applyAlignment="1">
      <alignment wrapText="1"/>
    </xf>
    <xf numFmtId="49" fontId="0" fillId="4" borderId="15" xfId="0" applyNumberFormat="1" applyFont="1" applyFill="1" applyBorder="1" applyAlignment="1">
      <alignment wrapText="1"/>
    </xf>
    <xf numFmtId="49" fontId="0" fillId="4" borderId="16" xfId="0" applyNumberFormat="1" applyFill="1" applyBorder="1" applyAlignment="1">
      <alignment wrapText="1"/>
    </xf>
    <xf numFmtId="164" fontId="0" fillId="4" borderId="12" xfId="0" applyNumberFormat="1" applyFont="1" applyFill="1" applyBorder="1" applyAlignment="1">
      <alignment wrapText="1"/>
    </xf>
    <xf numFmtId="164" fontId="0" fillId="4" borderId="9" xfId="0" applyNumberFormat="1" applyFont="1" applyFill="1" applyBorder="1" applyAlignment="1">
      <alignment wrapText="1"/>
    </xf>
    <xf numFmtId="166" fontId="0" fillId="4" borderId="7" xfId="0" applyNumberFormat="1" applyFont="1" applyFill="1" applyBorder="1" applyAlignment="1">
      <alignment wrapText="1"/>
    </xf>
    <xf numFmtId="0" fontId="0" fillId="0" borderId="0" xfId="0" applyAlignment="1">
      <alignment textRotation="45"/>
    </xf>
    <xf numFmtId="0" fontId="2" fillId="2" borderId="0" xfId="0" applyFont="1" applyFill="1"/>
    <xf numFmtId="0" fontId="0" fillId="2" borderId="0" xfId="0" applyFont="1" applyFill="1" applyAlignment="1">
      <alignment textRotation="45"/>
    </xf>
    <xf numFmtId="0" fontId="0" fillId="2" borderId="0" xfId="0" applyFill="1" applyAlignment="1">
      <alignment textRotation="45"/>
    </xf>
    <xf numFmtId="0" fontId="0" fillId="3" borderId="0" xfId="0" applyFill="1"/>
    <xf numFmtId="1" fontId="0" fillId="4" borderId="0" xfId="0" applyNumberFormat="1" applyFill="1"/>
    <xf numFmtId="0" fontId="0" fillId="4" borderId="0" xfId="0" applyFill="1"/>
    <xf numFmtId="9" fontId="0" fillId="4" borderId="0" xfId="0" applyNumberFormat="1" applyFill="1"/>
    <xf numFmtId="0" fontId="1" fillId="5" borderId="0" xfId="0" applyFont="1" applyFill="1" applyAlignment="1"/>
    <xf numFmtId="0" fontId="0" fillId="5" borderId="0" xfId="0" applyFill="1"/>
    <xf numFmtId="0" fontId="1" fillId="5" borderId="0" xfId="0" applyFont="1" applyFill="1"/>
    <xf numFmtId="9" fontId="1" fillId="5" borderId="0" xfId="0" applyNumberFormat="1" applyFont="1" applyFill="1"/>
    <xf numFmtId="0" fontId="0" fillId="7" borderId="0" xfId="0" applyFill="1"/>
    <xf numFmtId="0" fontId="0" fillId="7" borderId="0" xfId="0" applyFill="1" applyAlignment="1">
      <alignment horizontal="center"/>
    </xf>
    <xf numFmtId="0" fontId="0" fillId="12" borderId="0" xfId="0" applyFill="1" applyAlignment="1">
      <alignment horizontal="center" wrapText="1"/>
    </xf>
    <xf numFmtId="0" fontId="0" fillId="12" borderId="0" xfId="0" applyFill="1" applyAlignment="1">
      <alignment horizontal="center"/>
    </xf>
    <xf numFmtId="0" fontId="2" fillId="6" borderId="0" xfId="0" applyFont="1" applyFill="1"/>
    <xf numFmtId="0" fontId="0" fillId="6" borderId="0" xfId="0" applyFont="1" applyFill="1" applyAlignment="1">
      <alignment textRotation="45"/>
    </xf>
    <xf numFmtId="0" fontId="2" fillId="7" borderId="0" xfId="0" applyFont="1" applyFill="1"/>
    <xf numFmtId="0" fontId="0" fillId="7" borderId="0" xfId="0" applyFont="1" applyFill="1" applyAlignment="1">
      <alignment textRotation="45"/>
    </xf>
    <xf numFmtId="0" fontId="0" fillId="8" borderId="0" xfId="0" applyFill="1"/>
    <xf numFmtId="0" fontId="1" fillId="7" borderId="0" xfId="0" applyFont="1" applyFill="1"/>
    <xf numFmtId="167" fontId="0" fillId="9" borderId="0" xfId="0" applyNumberFormat="1" applyFill="1"/>
    <xf numFmtId="167" fontId="0" fillId="7" borderId="0" xfId="0" applyNumberFormat="1" applyFill="1"/>
    <xf numFmtId="0" fontId="1" fillId="6" borderId="0" xfId="0" applyFont="1" applyFill="1"/>
    <xf numFmtId="167" fontId="0" fillId="6" borderId="0" xfId="0" applyNumberFormat="1" applyFill="1"/>
    <xf numFmtId="0" fontId="0" fillId="13" borderId="0" xfId="0" applyFill="1"/>
    <xf numFmtId="167" fontId="0" fillId="10" borderId="0" xfId="0" applyNumberFormat="1" applyFill="1"/>
    <xf numFmtId="0" fontId="0" fillId="0" borderId="0" xfId="0" applyFill="1"/>
    <xf numFmtId="0" fontId="1" fillId="0" borderId="0" xfId="0" applyFont="1" applyFill="1" applyAlignment="1"/>
    <xf numFmtId="0" fontId="1" fillId="0" borderId="0" xfId="0" applyFont="1" applyFill="1"/>
    <xf numFmtId="9" fontId="1" fillId="0" borderId="0" xfId="0" applyNumberFormat="1" applyFont="1" applyFill="1"/>
    <xf numFmtId="0" fontId="0" fillId="0" borderId="0" xfId="0" applyFill="1" applyAlignment="1">
      <alignment textRotation="45"/>
    </xf>
    <xf numFmtId="0" fontId="0" fillId="14" borderId="0" xfId="0" applyFill="1"/>
    <xf numFmtId="0" fontId="0" fillId="4" borderId="7" xfId="0" applyNumberFormat="1" applyFont="1" applyFill="1" applyBorder="1" applyAlignment="1">
      <alignment wrapText="1"/>
    </xf>
    <xf numFmtId="0" fontId="0" fillId="4" borderId="12" xfId="0" applyNumberFormat="1" applyFont="1" applyFill="1" applyBorder="1" applyAlignment="1">
      <alignment wrapText="1"/>
    </xf>
    <xf numFmtId="167" fontId="0" fillId="4" borderId="7" xfId="0" applyNumberFormat="1" applyFont="1" applyFill="1" applyBorder="1" applyAlignment="1">
      <alignment wrapText="1"/>
    </xf>
    <xf numFmtId="167" fontId="0" fillId="4" borderId="9" xfId="0" applyNumberFormat="1" applyFont="1" applyFill="1" applyBorder="1" applyAlignment="1">
      <alignment wrapText="1"/>
    </xf>
    <xf numFmtId="167" fontId="0" fillId="4" borderId="11" xfId="0" applyNumberFormat="1" applyFill="1" applyBorder="1" applyAlignment="1">
      <alignment wrapText="1"/>
    </xf>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168" fontId="0" fillId="0" borderId="0" xfId="0" applyNumberFormat="1" applyAlignment="1">
      <alignment horizontal="center"/>
    </xf>
    <xf numFmtId="167" fontId="0" fillId="0" borderId="0" xfId="0" applyNumberFormat="1" applyAlignment="1">
      <alignment horizontal="center"/>
    </xf>
    <xf numFmtId="0" fontId="0" fillId="0" borderId="0" xfId="0" applyFont="1" applyAlignment="1">
      <alignment horizontal="center"/>
    </xf>
    <xf numFmtId="0" fontId="0" fillId="0" borderId="0" xfId="0" applyAlignment="1">
      <alignment horizontal="center" wrapText="1"/>
    </xf>
    <xf numFmtId="165" fontId="0" fillId="0" borderId="0" xfId="0" applyNumberFormat="1" applyAlignment="1">
      <alignment horizontal="center"/>
    </xf>
    <xf numFmtId="9" fontId="0" fillId="0" borderId="0" xfId="2" applyFont="1" applyAlignment="1">
      <alignment horizontal="center"/>
    </xf>
    <xf numFmtId="167" fontId="0" fillId="7" borderId="0" xfId="0" applyNumberFormat="1" applyFill="1" applyAlignment="1">
      <alignment horizontal="center"/>
    </xf>
    <xf numFmtId="0" fontId="0" fillId="7" borderId="0" xfId="0" applyFill="1" applyAlignment="1">
      <alignment horizontal="center"/>
    </xf>
    <xf numFmtId="2" fontId="0" fillId="11" borderId="0" xfId="0" applyNumberFormat="1" applyFill="1" applyAlignment="1">
      <alignment horizontal="center"/>
    </xf>
    <xf numFmtId="0" fontId="0" fillId="8" borderId="0" xfId="0" applyFill="1" applyAlignment="1">
      <alignment horizontal="center"/>
    </xf>
    <xf numFmtId="0" fontId="4" fillId="15" borderId="0" xfId="1" applyNumberFormat="1" applyAlignment="1">
      <alignment horizontal="center"/>
    </xf>
    <xf numFmtId="169" fontId="0" fillId="9" borderId="0" xfId="0" applyNumberFormat="1" applyFill="1" applyAlignment="1">
      <alignment horizontal="center"/>
    </xf>
    <xf numFmtId="167" fontId="0" fillId="9" borderId="0" xfId="0" applyNumberFormat="1" applyFill="1" applyAlignment="1">
      <alignment horizontal="center"/>
    </xf>
    <xf numFmtId="0" fontId="0" fillId="7" borderId="0" xfId="0" applyFill="1" applyAlignment="1">
      <alignment horizontal="center" wrapText="1"/>
    </xf>
    <xf numFmtId="2" fontId="0" fillId="9" borderId="0" xfId="0" applyNumberFormat="1" applyFill="1" applyAlignment="1">
      <alignment horizontal="center"/>
    </xf>
    <xf numFmtId="0" fontId="0" fillId="9" borderId="0" xfId="0" applyFill="1" applyAlignment="1">
      <alignment horizontal="center"/>
    </xf>
    <xf numFmtId="1" fontId="0" fillId="9" borderId="0" xfId="0" applyNumberFormat="1" applyFill="1" applyAlignment="1">
      <alignment horizontal="center"/>
    </xf>
    <xf numFmtId="0" fontId="0" fillId="9" borderId="0" xfId="0" applyNumberFormat="1" applyFill="1" applyAlignment="1">
      <alignment horizontal="center"/>
    </xf>
    <xf numFmtId="0" fontId="2" fillId="17" borderId="0" xfId="0" applyFont="1" applyFill="1"/>
    <xf numFmtId="0" fontId="0" fillId="17" borderId="0" xfId="0" applyFont="1" applyFill="1" applyAlignment="1">
      <alignment textRotation="45"/>
    </xf>
    <xf numFmtId="0" fontId="1" fillId="17" borderId="0" xfId="0" applyFont="1" applyFill="1"/>
    <xf numFmtId="167" fontId="0" fillId="17" borderId="0" xfId="0" applyNumberFormat="1" applyFill="1"/>
    <xf numFmtId="0" fontId="0" fillId="16" borderId="0" xfId="0" applyFill="1"/>
    <xf numFmtId="167" fontId="0" fillId="18" borderId="0" xfId="0" applyNumberFormat="1" applyFill="1"/>
  </cellXfs>
  <cellStyles count="3">
    <cellStyle name="20% - Accent2" xfId="1" builtinId="3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Total revenue</c:v>
          </c:tx>
          <c:marker>
            <c:symbol val="none"/>
          </c:marker>
          <c:cat>
            <c:strRef>
              <c:f>Expenses!$B$9:$M$9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'Total revenue'!$B$12:$M$12</c:f>
              <c:numCache>
                <c:formatCode>"€"\ #,##0.00</c:formatCode>
                <c:ptCount val="12"/>
                <c:pt idx="0">
                  <c:v>4687.5</c:v>
                </c:pt>
                <c:pt idx="1">
                  <c:v>9375</c:v>
                </c:pt>
                <c:pt idx="2">
                  <c:v>14062.5</c:v>
                </c:pt>
                <c:pt idx="3">
                  <c:v>18750</c:v>
                </c:pt>
                <c:pt idx="4">
                  <c:v>23437.5</c:v>
                </c:pt>
                <c:pt idx="5">
                  <c:v>28125</c:v>
                </c:pt>
                <c:pt idx="6">
                  <c:v>32812.5</c:v>
                </c:pt>
                <c:pt idx="7">
                  <c:v>37500</c:v>
                </c:pt>
                <c:pt idx="8">
                  <c:v>42187.499999999993</c:v>
                </c:pt>
                <c:pt idx="9">
                  <c:v>46874.999999999993</c:v>
                </c:pt>
                <c:pt idx="10">
                  <c:v>51562.5</c:v>
                </c:pt>
                <c:pt idx="11">
                  <c:v>56250</c:v>
                </c:pt>
              </c:numCache>
            </c:numRef>
          </c:val>
          <c:smooth val="0"/>
        </c:ser>
        <c:ser>
          <c:idx val="2"/>
          <c:order val="1"/>
          <c:tx>
            <c:v>Total expenses</c:v>
          </c:tx>
          <c:marker>
            <c:symbol val="none"/>
          </c:marker>
          <c:val>
            <c:numRef>
              <c:f>Expenses2!$B$16:$M$16</c:f>
              <c:numCache>
                <c:formatCode>"€"\ #,##0.00</c:formatCode>
                <c:ptCount val="12"/>
                <c:pt idx="0">
                  <c:v>14750</c:v>
                </c:pt>
                <c:pt idx="1">
                  <c:v>16750</c:v>
                </c:pt>
                <c:pt idx="2">
                  <c:v>20250</c:v>
                </c:pt>
                <c:pt idx="3">
                  <c:v>25500</c:v>
                </c:pt>
                <c:pt idx="4">
                  <c:v>30500</c:v>
                </c:pt>
                <c:pt idx="5">
                  <c:v>34000</c:v>
                </c:pt>
                <c:pt idx="6">
                  <c:v>37500</c:v>
                </c:pt>
                <c:pt idx="7">
                  <c:v>42750</c:v>
                </c:pt>
                <c:pt idx="8">
                  <c:v>46250</c:v>
                </c:pt>
                <c:pt idx="9">
                  <c:v>51250</c:v>
                </c:pt>
                <c:pt idx="10">
                  <c:v>54750</c:v>
                </c:pt>
                <c:pt idx="11">
                  <c:v>60000</c:v>
                </c:pt>
              </c:numCache>
            </c:numRef>
          </c:val>
          <c:smooth val="0"/>
        </c:ser>
        <c:dLbls>
          <c:showLegendKey val="0"/>
          <c:showVal val="0"/>
          <c:showCatName val="0"/>
          <c:showSerName val="0"/>
          <c:showPercent val="0"/>
          <c:showBubbleSize val="0"/>
        </c:dLbls>
        <c:marker val="1"/>
        <c:smooth val="0"/>
        <c:axId val="44066304"/>
        <c:axId val="44068224"/>
      </c:lineChart>
      <c:catAx>
        <c:axId val="44066304"/>
        <c:scaling>
          <c:orientation val="minMax"/>
        </c:scaling>
        <c:delete val="0"/>
        <c:axPos val="b"/>
        <c:majorTickMark val="out"/>
        <c:minorTickMark val="none"/>
        <c:tickLblPos val="nextTo"/>
        <c:crossAx val="44068224"/>
        <c:crosses val="autoZero"/>
        <c:auto val="1"/>
        <c:lblAlgn val="ctr"/>
        <c:lblOffset val="100"/>
        <c:noMultiLvlLbl val="0"/>
      </c:catAx>
      <c:valAx>
        <c:axId val="44068224"/>
        <c:scaling>
          <c:orientation val="minMax"/>
        </c:scaling>
        <c:delete val="0"/>
        <c:axPos val="l"/>
        <c:majorGridlines/>
        <c:numFmt formatCode="&quot;€&quot;\ #,##0.00" sourceLinked="1"/>
        <c:majorTickMark val="out"/>
        <c:minorTickMark val="none"/>
        <c:tickLblPos val="nextTo"/>
        <c:crossAx val="440663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Total revenue</c:v>
          </c:tx>
          <c:marker>
            <c:symbol val="none"/>
          </c:marker>
          <c:cat>
            <c:strRef>
              <c:f>Expenses!$B$9:$M$9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'Total revenue'!$B$18:$M$18</c:f>
              <c:numCache>
                <c:formatCode>"€"\ #,##0.00</c:formatCode>
                <c:ptCount val="12"/>
                <c:pt idx="0">
                  <c:v>65625</c:v>
                </c:pt>
                <c:pt idx="1">
                  <c:v>75000</c:v>
                </c:pt>
                <c:pt idx="2">
                  <c:v>84374.999999999985</c:v>
                </c:pt>
                <c:pt idx="3">
                  <c:v>93749.999999999985</c:v>
                </c:pt>
                <c:pt idx="4">
                  <c:v>103125</c:v>
                </c:pt>
                <c:pt idx="5">
                  <c:v>112500</c:v>
                </c:pt>
                <c:pt idx="6">
                  <c:v>121875</c:v>
                </c:pt>
                <c:pt idx="7">
                  <c:v>131250</c:v>
                </c:pt>
                <c:pt idx="8">
                  <c:v>140625.00000000003</c:v>
                </c:pt>
                <c:pt idx="9">
                  <c:v>150000.00000000003</c:v>
                </c:pt>
                <c:pt idx="10">
                  <c:v>159375.00000000003</c:v>
                </c:pt>
                <c:pt idx="11">
                  <c:v>168750.00000000006</c:v>
                </c:pt>
              </c:numCache>
            </c:numRef>
          </c:val>
          <c:smooth val="0"/>
        </c:ser>
        <c:ser>
          <c:idx val="2"/>
          <c:order val="1"/>
          <c:tx>
            <c:v>Total expenses</c:v>
          </c:tx>
          <c:marker>
            <c:symbol val="none"/>
          </c:marker>
          <c:val>
            <c:numRef>
              <c:f>Expenses2!$B$25:$M$25</c:f>
              <c:numCache>
                <c:formatCode>"€"\ #,##0.00</c:formatCode>
                <c:ptCount val="12"/>
                <c:pt idx="0">
                  <c:v>67000</c:v>
                </c:pt>
                <c:pt idx="1">
                  <c:v>77250</c:v>
                </c:pt>
                <c:pt idx="2">
                  <c:v>84250</c:v>
                </c:pt>
                <c:pt idx="3">
                  <c:v>94500</c:v>
                </c:pt>
                <c:pt idx="4">
                  <c:v>101500</c:v>
                </c:pt>
                <c:pt idx="5">
                  <c:v>110250</c:v>
                </c:pt>
                <c:pt idx="6">
                  <c:v>122250</c:v>
                </c:pt>
                <c:pt idx="7">
                  <c:v>131000</c:v>
                </c:pt>
                <c:pt idx="8">
                  <c:v>139500</c:v>
                </c:pt>
                <c:pt idx="9">
                  <c:v>148250</c:v>
                </c:pt>
                <c:pt idx="10">
                  <c:v>156750</c:v>
                </c:pt>
                <c:pt idx="11">
                  <c:v>165500</c:v>
                </c:pt>
              </c:numCache>
            </c:numRef>
          </c:val>
          <c:smooth val="0"/>
        </c:ser>
        <c:dLbls>
          <c:showLegendKey val="0"/>
          <c:showVal val="0"/>
          <c:showCatName val="0"/>
          <c:showSerName val="0"/>
          <c:showPercent val="0"/>
          <c:showBubbleSize val="0"/>
        </c:dLbls>
        <c:marker val="1"/>
        <c:smooth val="0"/>
        <c:axId val="106499072"/>
        <c:axId val="118260480"/>
      </c:lineChart>
      <c:catAx>
        <c:axId val="106499072"/>
        <c:scaling>
          <c:orientation val="minMax"/>
        </c:scaling>
        <c:delete val="0"/>
        <c:axPos val="b"/>
        <c:majorTickMark val="out"/>
        <c:minorTickMark val="none"/>
        <c:tickLblPos val="nextTo"/>
        <c:crossAx val="118260480"/>
        <c:crosses val="autoZero"/>
        <c:auto val="1"/>
        <c:lblAlgn val="ctr"/>
        <c:lblOffset val="100"/>
        <c:noMultiLvlLbl val="0"/>
      </c:catAx>
      <c:valAx>
        <c:axId val="118260480"/>
        <c:scaling>
          <c:orientation val="minMax"/>
        </c:scaling>
        <c:delete val="0"/>
        <c:axPos val="l"/>
        <c:majorGridlines/>
        <c:numFmt formatCode="&quot;€&quot;\ #,##0.00" sourceLinked="1"/>
        <c:majorTickMark val="out"/>
        <c:minorTickMark val="none"/>
        <c:tickLblPos val="nextTo"/>
        <c:crossAx val="1064990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Total revenue</c:v>
          </c:tx>
          <c:marker>
            <c:symbol val="none"/>
          </c:marker>
          <c:cat>
            <c:strRef>
              <c:f>Expenses!$B$9:$M$9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'Total revenue'!$B$24:$M$24</c:f>
              <c:numCache>
                <c:formatCode>"€"\ #,##0.00</c:formatCode>
                <c:ptCount val="12"/>
                <c:pt idx="0">
                  <c:v>187500.00000000006</c:v>
                </c:pt>
                <c:pt idx="1">
                  <c:v>206250.00000000006</c:v>
                </c:pt>
                <c:pt idx="2">
                  <c:v>225000.00000000009</c:v>
                </c:pt>
                <c:pt idx="3">
                  <c:v>243750.00000000012</c:v>
                </c:pt>
                <c:pt idx="4">
                  <c:v>262500.00000000012</c:v>
                </c:pt>
                <c:pt idx="5">
                  <c:v>281250.00000000012</c:v>
                </c:pt>
                <c:pt idx="6">
                  <c:v>300000.00000000012</c:v>
                </c:pt>
                <c:pt idx="7">
                  <c:v>318750.00000000012</c:v>
                </c:pt>
                <c:pt idx="8">
                  <c:v>337500.00000000017</c:v>
                </c:pt>
                <c:pt idx="9">
                  <c:v>356250.00000000017</c:v>
                </c:pt>
                <c:pt idx="10">
                  <c:v>375000.00000000017</c:v>
                </c:pt>
                <c:pt idx="11">
                  <c:v>393750.00000000017</c:v>
                </c:pt>
              </c:numCache>
            </c:numRef>
          </c:val>
          <c:smooth val="0"/>
        </c:ser>
        <c:ser>
          <c:idx val="2"/>
          <c:order val="1"/>
          <c:tx>
            <c:v>Total expenses</c:v>
          </c:tx>
          <c:marker>
            <c:symbol val="none"/>
          </c:marker>
          <c:val>
            <c:numRef>
              <c:f>Expenses2!$B$34:$M$34</c:f>
              <c:numCache>
                <c:formatCode>"€"\ #,##0.00</c:formatCode>
                <c:ptCount val="12"/>
                <c:pt idx="0">
                  <c:v>182750</c:v>
                </c:pt>
                <c:pt idx="1">
                  <c:v>200000</c:v>
                </c:pt>
                <c:pt idx="2">
                  <c:v>215750</c:v>
                </c:pt>
                <c:pt idx="3">
                  <c:v>236500</c:v>
                </c:pt>
                <c:pt idx="4">
                  <c:v>253750</c:v>
                </c:pt>
                <c:pt idx="5">
                  <c:v>271000</c:v>
                </c:pt>
                <c:pt idx="6">
                  <c:v>288250</c:v>
                </c:pt>
                <c:pt idx="7">
                  <c:v>305500</c:v>
                </c:pt>
                <c:pt idx="8">
                  <c:v>321250</c:v>
                </c:pt>
                <c:pt idx="9">
                  <c:v>342000</c:v>
                </c:pt>
                <c:pt idx="10">
                  <c:v>359250</c:v>
                </c:pt>
                <c:pt idx="11">
                  <c:v>376500</c:v>
                </c:pt>
              </c:numCache>
            </c:numRef>
          </c:val>
          <c:smooth val="0"/>
        </c:ser>
        <c:dLbls>
          <c:showLegendKey val="0"/>
          <c:showVal val="0"/>
          <c:showCatName val="0"/>
          <c:showSerName val="0"/>
          <c:showPercent val="0"/>
          <c:showBubbleSize val="0"/>
        </c:dLbls>
        <c:marker val="1"/>
        <c:smooth val="0"/>
        <c:axId val="44157568"/>
        <c:axId val="78300288"/>
      </c:lineChart>
      <c:catAx>
        <c:axId val="44157568"/>
        <c:scaling>
          <c:orientation val="minMax"/>
        </c:scaling>
        <c:delete val="0"/>
        <c:axPos val="b"/>
        <c:majorTickMark val="out"/>
        <c:minorTickMark val="none"/>
        <c:tickLblPos val="nextTo"/>
        <c:crossAx val="78300288"/>
        <c:crosses val="autoZero"/>
        <c:auto val="1"/>
        <c:lblAlgn val="ctr"/>
        <c:lblOffset val="100"/>
        <c:noMultiLvlLbl val="0"/>
      </c:catAx>
      <c:valAx>
        <c:axId val="78300288"/>
        <c:scaling>
          <c:orientation val="minMax"/>
        </c:scaling>
        <c:delete val="0"/>
        <c:axPos val="l"/>
        <c:majorGridlines/>
        <c:numFmt formatCode="&quot;€&quot;\ #,##0.00" sourceLinked="1"/>
        <c:majorTickMark val="out"/>
        <c:minorTickMark val="none"/>
        <c:tickLblPos val="nextTo"/>
        <c:crossAx val="441575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45720</xdr:rowOff>
    </xdr:from>
    <xdr:to>
      <xdr:col>16</xdr:col>
      <xdr:colOff>396240</xdr:colOff>
      <xdr:row>5</xdr:row>
      <xdr:rowOff>137160</xdr:rowOff>
    </xdr:to>
    <xdr:sp macro="" textlink="">
      <xdr:nvSpPr>
        <xdr:cNvPr id="3" name="TextBox 2"/>
        <xdr:cNvSpPr txBox="1"/>
      </xdr:nvSpPr>
      <xdr:spPr>
        <a:xfrm>
          <a:off x="38100" y="312420"/>
          <a:ext cx="10111740" cy="822960"/>
        </a:xfrm>
        <a:prstGeom prst="rect">
          <a:avLst/>
        </a:prstGeom>
        <a:solidFill>
          <a:schemeClr val="tx2">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nl-NL" sz="1100"/>
            <a:t>This plan gives insight in the estimated revenues, costs, profits and break even</a:t>
          </a:r>
          <a:r>
            <a:rPr lang="nl-NL" sz="1100" baseline="0"/>
            <a:t> of the new product protfolio of Plaintech. This scheet gives a overview of the most important parts of the fincancial plan.</a:t>
          </a:r>
          <a:endParaRPr lang="nl-NL" sz="1100"/>
        </a:p>
      </xdr:txBody>
    </xdr:sp>
    <xdr:clientData/>
  </xdr:twoCellAnchor>
  <xdr:twoCellAnchor>
    <xdr:from>
      <xdr:col>0</xdr:col>
      <xdr:colOff>167640</xdr:colOff>
      <xdr:row>8</xdr:row>
      <xdr:rowOff>72390</xdr:rowOff>
    </xdr:from>
    <xdr:to>
      <xdr:col>16</xdr:col>
      <xdr:colOff>403860</xdr:colOff>
      <xdr:row>35</xdr:row>
      <xdr:rowOff>175260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160020</xdr:colOff>
      <xdr:row>39</xdr:row>
      <xdr:rowOff>0</xdr:rowOff>
    </xdr:from>
    <xdr:to>
      <xdr:col>16</xdr:col>
      <xdr:colOff>396240</xdr:colOff>
      <xdr:row>66</xdr:row>
      <xdr:rowOff>102870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69</xdr:row>
      <xdr:rowOff>99060</xdr:rowOff>
    </xdr:from>
    <xdr:to>
      <xdr:col>16</xdr:col>
      <xdr:colOff>426720</xdr:colOff>
      <xdr:row>97</xdr:row>
      <xdr:rowOff>19050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1</xdr:row>
      <xdr:rowOff>53340</xdr:rowOff>
    </xdr:from>
    <xdr:to>
      <xdr:col>11</xdr:col>
      <xdr:colOff>358140</xdr:colOff>
      <xdr:row>5</xdr:row>
      <xdr:rowOff>144780</xdr:rowOff>
    </xdr:to>
    <xdr:sp macro="" textlink="">
      <xdr:nvSpPr>
        <xdr:cNvPr id="2" name="TextBox 1"/>
        <xdr:cNvSpPr txBox="1"/>
      </xdr:nvSpPr>
      <xdr:spPr>
        <a:xfrm>
          <a:off x="53340" y="350520"/>
          <a:ext cx="10111740" cy="822960"/>
        </a:xfrm>
        <a:prstGeom prst="rect">
          <a:avLst/>
        </a:prstGeom>
        <a:solidFill>
          <a:schemeClr val="tx2">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nl-NL" sz="1100"/>
            <a:t>This sheet describes the 3 different packages that Plaintech</a:t>
          </a:r>
          <a:r>
            <a:rPr lang="nl-NL" sz="1100" baseline="0"/>
            <a:t> has to offer. For each package the costs and revenue per product is specified to make calculations for the rest of the financial plan.</a:t>
          </a:r>
          <a:endParaRPr lang="nl-N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1</xdr:row>
      <xdr:rowOff>45720</xdr:rowOff>
    </xdr:from>
    <xdr:to>
      <xdr:col>16</xdr:col>
      <xdr:colOff>411480</xdr:colOff>
      <xdr:row>5</xdr:row>
      <xdr:rowOff>137160</xdr:rowOff>
    </xdr:to>
    <xdr:sp macro="" textlink="">
      <xdr:nvSpPr>
        <xdr:cNvPr id="2" name="TextBox 1"/>
        <xdr:cNvSpPr txBox="1"/>
      </xdr:nvSpPr>
      <xdr:spPr>
        <a:xfrm>
          <a:off x="53340" y="312420"/>
          <a:ext cx="10218420" cy="822960"/>
        </a:xfrm>
        <a:prstGeom prst="rect">
          <a:avLst/>
        </a:prstGeom>
        <a:solidFill>
          <a:schemeClr val="tx2">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nl-NL" sz="1100"/>
            <a:t>This sheet describes the hardware that we advice Plaintech to</a:t>
          </a:r>
          <a:r>
            <a:rPr lang="nl-NL" sz="1100" baseline="0"/>
            <a:t> use </a:t>
          </a:r>
          <a:r>
            <a:rPr lang="nl-NL" sz="1100"/>
            <a:t>to serve their customers.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45720</xdr:colOff>
      <xdr:row>1</xdr:row>
      <xdr:rowOff>45720</xdr:rowOff>
    </xdr:from>
    <xdr:to>
      <xdr:col>16</xdr:col>
      <xdr:colOff>403860</xdr:colOff>
      <xdr:row>5</xdr:row>
      <xdr:rowOff>137160</xdr:rowOff>
    </xdr:to>
    <xdr:sp macro="" textlink="">
      <xdr:nvSpPr>
        <xdr:cNvPr id="2" name="TextBox 1"/>
        <xdr:cNvSpPr txBox="1"/>
      </xdr:nvSpPr>
      <xdr:spPr>
        <a:xfrm>
          <a:off x="45720" y="312420"/>
          <a:ext cx="10111740" cy="822960"/>
        </a:xfrm>
        <a:prstGeom prst="rect">
          <a:avLst/>
        </a:prstGeom>
        <a:solidFill>
          <a:schemeClr val="tx2">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nl-NL" sz="1100"/>
            <a:t>This sheet</a:t>
          </a:r>
          <a:r>
            <a:rPr lang="nl-NL" sz="1100" baseline="0"/>
            <a:t> gives a forecast of expected sales per product. This is nescessary to calculate the profitability of the project.</a:t>
          </a:r>
          <a:endParaRPr lang="nl-NL"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45720</xdr:colOff>
      <xdr:row>1</xdr:row>
      <xdr:rowOff>45720</xdr:rowOff>
    </xdr:from>
    <xdr:to>
      <xdr:col>16</xdr:col>
      <xdr:colOff>403860</xdr:colOff>
      <xdr:row>5</xdr:row>
      <xdr:rowOff>137160</xdr:rowOff>
    </xdr:to>
    <xdr:sp macro="" textlink="">
      <xdr:nvSpPr>
        <xdr:cNvPr id="2" name="TextBox 1"/>
        <xdr:cNvSpPr txBox="1"/>
      </xdr:nvSpPr>
      <xdr:spPr>
        <a:xfrm>
          <a:off x="45720" y="312420"/>
          <a:ext cx="10584180" cy="822960"/>
        </a:xfrm>
        <a:prstGeom prst="rect">
          <a:avLst/>
        </a:prstGeom>
        <a:solidFill>
          <a:schemeClr val="tx2">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nl-NL" sz="1100"/>
            <a:t>This sheet</a:t>
          </a:r>
          <a:r>
            <a:rPr lang="nl-NL" sz="1100" baseline="0"/>
            <a:t> gives a overview of the amount of hardware required for the network to function properly with the amount of active virtual private servers.</a:t>
          </a:r>
          <a:endParaRPr lang="nl-NL"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xdr:colOff>
      <xdr:row>1</xdr:row>
      <xdr:rowOff>45720</xdr:rowOff>
    </xdr:from>
    <xdr:to>
      <xdr:col>11</xdr:col>
      <xdr:colOff>350520</xdr:colOff>
      <xdr:row>5</xdr:row>
      <xdr:rowOff>137160</xdr:rowOff>
    </xdr:to>
    <xdr:sp macro="" textlink="">
      <xdr:nvSpPr>
        <xdr:cNvPr id="2" name="TextBox 1"/>
        <xdr:cNvSpPr txBox="1"/>
      </xdr:nvSpPr>
      <xdr:spPr>
        <a:xfrm>
          <a:off x="45720" y="312420"/>
          <a:ext cx="7299960" cy="822960"/>
        </a:xfrm>
        <a:prstGeom prst="rect">
          <a:avLst/>
        </a:prstGeom>
        <a:solidFill>
          <a:schemeClr val="accent6">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nl-NL" sz="1100"/>
            <a:t>This sheet describes the expenses made.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45720</xdr:colOff>
      <xdr:row>1</xdr:row>
      <xdr:rowOff>45720</xdr:rowOff>
    </xdr:from>
    <xdr:to>
      <xdr:col>11</xdr:col>
      <xdr:colOff>350520</xdr:colOff>
      <xdr:row>5</xdr:row>
      <xdr:rowOff>137160</xdr:rowOff>
    </xdr:to>
    <xdr:sp macro="" textlink="">
      <xdr:nvSpPr>
        <xdr:cNvPr id="2" name="TextBox 1"/>
        <xdr:cNvSpPr txBox="1"/>
      </xdr:nvSpPr>
      <xdr:spPr>
        <a:xfrm>
          <a:off x="45720" y="312420"/>
          <a:ext cx="9052560" cy="822960"/>
        </a:xfrm>
        <a:prstGeom prst="rect">
          <a:avLst/>
        </a:prstGeom>
        <a:solidFill>
          <a:schemeClr val="accent6">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nl-NL" sz="1100"/>
            <a:t>This sheet describes the expenses made. The</a:t>
          </a:r>
          <a:r>
            <a:rPr lang="nl-NL" sz="1100" baseline="0"/>
            <a:t> only difference is that the expenses add to eachother each month.</a:t>
          </a:r>
          <a:endParaRPr lang="nl-NL"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45720</xdr:colOff>
      <xdr:row>1</xdr:row>
      <xdr:rowOff>45720</xdr:rowOff>
    </xdr:from>
    <xdr:to>
      <xdr:col>11</xdr:col>
      <xdr:colOff>350520</xdr:colOff>
      <xdr:row>5</xdr:row>
      <xdr:rowOff>137160</xdr:rowOff>
    </xdr:to>
    <xdr:sp macro="" textlink="">
      <xdr:nvSpPr>
        <xdr:cNvPr id="2" name="TextBox 1"/>
        <xdr:cNvSpPr txBox="1"/>
      </xdr:nvSpPr>
      <xdr:spPr>
        <a:xfrm>
          <a:off x="45720" y="342900"/>
          <a:ext cx="7010400" cy="822960"/>
        </a:xfrm>
        <a:prstGeom prst="rect">
          <a:avLst/>
        </a:prstGeom>
        <a:solidFill>
          <a:schemeClr val="accent2">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nl-NL" sz="1100"/>
            <a:t>This sheet describes how the costs are calculated,</a:t>
          </a:r>
          <a:r>
            <a:rPr lang="nl-NL" sz="1100" baseline="0"/>
            <a:t> and gives the total of costs of the Project VIRT for Plaintech. The costs consist of both variable as constant costs which are further specified in two seperate sheets. The hardware costs are paid for when they are needed.</a:t>
          </a:r>
          <a:endParaRPr lang="nl-NL"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45720</xdr:colOff>
      <xdr:row>1</xdr:row>
      <xdr:rowOff>45720</xdr:rowOff>
    </xdr:from>
    <xdr:to>
      <xdr:col>7</xdr:col>
      <xdr:colOff>579120</xdr:colOff>
      <xdr:row>5</xdr:row>
      <xdr:rowOff>137160</xdr:rowOff>
    </xdr:to>
    <xdr:sp macro="" textlink="">
      <xdr:nvSpPr>
        <xdr:cNvPr id="2" name="TextBox 1"/>
        <xdr:cNvSpPr txBox="1"/>
      </xdr:nvSpPr>
      <xdr:spPr>
        <a:xfrm>
          <a:off x="45720" y="342900"/>
          <a:ext cx="4800600" cy="822960"/>
        </a:xfrm>
        <a:prstGeom prst="rect">
          <a:avLst/>
        </a:prstGeom>
        <a:solidFill>
          <a:schemeClr val="accent2">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nl-NL" sz="1100"/>
            <a:t>This sheet describes how the constant costs are calculated,</a:t>
          </a:r>
          <a:r>
            <a:rPr lang="nl-NL" sz="1100" baseline="0"/>
            <a:t> and gives the total of constant costs of the Project VIRT for Plaintech. The constant costs consist of both hardware as software estimated costs.</a:t>
          </a:r>
          <a:endParaRPr lang="nl-NL"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60960</xdr:colOff>
      <xdr:row>1</xdr:row>
      <xdr:rowOff>45720</xdr:rowOff>
    </xdr:from>
    <xdr:to>
      <xdr:col>11</xdr:col>
      <xdr:colOff>365760</xdr:colOff>
      <xdr:row>5</xdr:row>
      <xdr:rowOff>137160</xdr:rowOff>
    </xdr:to>
    <xdr:sp macro="" textlink="">
      <xdr:nvSpPr>
        <xdr:cNvPr id="2" name="TextBox 1"/>
        <xdr:cNvSpPr txBox="1"/>
      </xdr:nvSpPr>
      <xdr:spPr>
        <a:xfrm>
          <a:off x="60960" y="342900"/>
          <a:ext cx="7010400" cy="822960"/>
        </a:xfrm>
        <a:prstGeom prst="rect">
          <a:avLst/>
        </a:prstGeom>
        <a:solidFill>
          <a:schemeClr val="accent2">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nl-NL" sz="1100"/>
            <a:t>This sheet describes how the variable costs are calculated,</a:t>
          </a:r>
          <a:r>
            <a:rPr lang="nl-NL" sz="1100" baseline="0"/>
            <a:t> and gives the total of variable costs of the Project VIRT for Plaintech.</a:t>
          </a:r>
          <a:endParaRPr lang="nl-NL"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53340</xdr:colOff>
      <xdr:row>1</xdr:row>
      <xdr:rowOff>45720</xdr:rowOff>
    </xdr:from>
    <xdr:to>
      <xdr:col>11</xdr:col>
      <xdr:colOff>358140</xdr:colOff>
      <xdr:row>5</xdr:row>
      <xdr:rowOff>137160</xdr:rowOff>
    </xdr:to>
    <xdr:sp macro="" textlink="">
      <xdr:nvSpPr>
        <xdr:cNvPr id="2" name="TextBox 1"/>
        <xdr:cNvSpPr txBox="1"/>
      </xdr:nvSpPr>
      <xdr:spPr>
        <a:xfrm>
          <a:off x="53340" y="312420"/>
          <a:ext cx="7010400" cy="822960"/>
        </a:xfrm>
        <a:prstGeom prst="rect">
          <a:avLst/>
        </a:prstGeom>
        <a:solidFill>
          <a:schemeClr val="accent3">
            <a:lumMod val="20000"/>
            <a:lumOff val="8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r>
            <a:rPr lang="nl-NL" sz="1100"/>
            <a:t>This sheet shows the total revenue estimated,</a:t>
          </a:r>
          <a:r>
            <a:rPr lang="nl-NL" sz="1100" baseline="0"/>
            <a:t> based on the revenue per package and sales forecast.</a:t>
          </a:r>
          <a:endParaRPr lang="nl-NL"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B69"/>
  <sheetViews>
    <sheetView tabSelected="1" workbookViewId="0">
      <selection activeCell="U16" sqref="U16"/>
    </sheetView>
  </sheetViews>
  <sheetFormatPr defaultRowHeight="14.4" x14ac:dyDescent="0.3"/>
  <sheetData>
    <row r="1" spans="1:2" ht="21" x14ac:dyDescent="0.35">
      <c r="A1" s="2" t="s">
        <v>38</v>
      </c>
    </row>
    <row r="8" spans="1:2" x14ac:dyDescent="0.3">
      <c r="B8" t="s">
        <v>55</v>
      </c>
    </row>
    <row r="38" spans="2:2" x14ac:dyDescent="0.3">
      <c r="B38" t="s">
        <v>56</v>
      </c>
    </row>
    <row r="69" spans="2:2" x14ac:dyDescent="0.3">
      <c r="B69" t="s">
        <v>57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D42"/>
  <sheetViews>
    <sheetView topLeftCell="A15" workbookViewId="0">
      <selection activeCell="C17" sqref="C17"/>
    </sheetView>
  </sheetViews>
  <sheetFormatPr defaultRowHeight="14.4" x14ac:dyDescent="0.3"/>
  <cols>
    <col min="1" max="2" width="11.5546875" customWidth="1"/>
    <col min="3" max="3" width="20.44140625" style="4" customWidth="1"/>
    <col min="4" max="4" width="37.33203125" style="4" customWidth="1"/>
  </cols>
  <sheetData>
    <row r="1" spans="1:4" ht="21" x14ac:dyDescent="0.35">
      <c r="A1" s="2" t="s">
        <v>8</v>
      </c>
    </row>
    <row r="8" spans="1:4" ht="19.5" thickBot="1" x14ac:dyDescent="0.35">
      <c r="A8" s="1" t="s">
        <v>10</v>
      </c>
    </row>
    <row r="9" spans="1:4" ht="18.75" x14ac:dyDescent="0.3">
      <c r="A9" s="6"/>
      <c r="B9" s="7"/>
      <c r="C9" s="8" t="s">
        <v>21</v>
      </c>
      <c r="D9" s="9" t="s">
        <v>22</v>
      </c>
    </row>
    <row r="10" spans="1:4" s="3" customFormat="1" ht="30" x14ac:dyDescent="0.25">
      <c r="A10" s="10" t="s">
        <v>16</v>
      </c>
      <c r="B10" s="11"/>
      <c r="C10" s="22">
        <v>1</v>
      </c>
      <c r="D10" s="14" t="s">
        <v>24</v>
      </c>
    </row>
    <row r="11" spans="1:4" s="3" customFormat="1" ht="15" x14ac:dyDescent="0.25">
      <c r="A11" s="10" t="s">
        <v>17</v>
      </c>
      <c r="B11" s="11"/>
      <c r="C11" s="21">
        <v>2</v>
      </c>
      <c r="D11" s="15"/>
    </row>
    <row r="12" spans="1:4" s="3" customFormat="1" ht="15" x14ac:dyDescent="0.25">
      <c r="A12" s="10" t="s">
        <v>18</v>
      </c>
      <c r="B12" s="11"/>
      <c r="C12" s="20">
        <v>250</v>
      </c>
      <c r="D12" s="16"/>
    </row>
    <row r="13" spans="1:4" s="3" customFormat="1" ht="15" x14ac:dyDescent="0.25">
      <c r="A13" s="10"/>
      <c r="B13" s="11"/>
      <c r="C13" s="17"/>
      <c r="D13" s="18"/>
    </row>
    <row r="14" spans="1:4" s="3" customFormat="1" ht="15" x14ac:dyDescent="0.25">
      <c r="A14" s="10" t="s">
        <v>19</v>
      </c>
      <c r="B14" s="11"/>
      <c r="C14" s="57" t="str">
        <f>'Hardware details'!C10:D10</f>
        <v>Dell server</v>
      </c>
      <c r="D14" s="14"/>
    </row>
    <row r="15" spans="1:4" s="3" customFormat="1" ht="15" x14ac:dyDescent="0.25">
      <c r="A15" s="10"/>
      <c r="B15" s="11"/>
      <c r="C15" s="58"/>
      <c r="D15" s="16"/>
    </row>
    <row r="16" spans="1:4" s="3" customFormat="1" x14ac:dyDescent="0.3">
      <c r="A16" s="10" t="s">
        <v>20</v>
      </c>
      <c r="B16" s="11"/>
      <c r="C16" s="59">
        <v>17.5</v>
      </c>
      <c r="D16" s="18"/>
    </row>
    <row r="17" spans="1:4" s="3" customFormat="1" x14ac:dyDescent="0.3">
      <c r="A17" s="10" t="s">
        <v>23</v>
      </c>
      <c r="B17" s="11"/>
      <c r="C17" s="60">
        <f>'Variable costs'!I17</f>
        <v>0.28472222222222221</v>
      </c>
      <c r="D17" s="18"/>
    </row>
    <row r="18" spans="1:4" ht="15" thickBot="1" x14ac:dyDescent="0.35">
      <c r="A18" s="12" t="s">
        <v>25</v>
      </c>
      <c r="B18" s="13"/>
      <c r="C18" s="61">
        <f>C16-C17</f>
        <v>17.215277777777779</v>
      </c>
      <c r="D18" s="19"/>
    </row>
    <row r="19" spans="1:4" s="3" customFormat="1" ht="15" x14ac:dyDescent="0.25">
      <c r="C19" s="5"/>
      <c r="D19" s="5"/>
    </row>
    <row r="20" spans="1:4" s="3" customFormat="1" ht="19.5" thickBot="1" x14ac:dyDescent="0.35">
      <c r="A20" s="1" t="s">
        <v>11</v>
      </c>
      <c r="B20"/>
      <c r="C20" s="4"/>
      <c r="D20" s="4"/>
    </row>
    <row r="21" spans="1:4" ht="18.75" x14ac:dyDescent="0.3">
      <c r="A21" s="6"/>
      <c r="B21" s="7"/>
      <c r="C21" s="8" t="s">
        <v>21</v>
      </c>
      <c r="D21" s="9" t="s">
        <v>22</v>
      </c>
    </row>
    <row r="22" spans="1:4" s="3" customFormat="1" ht="30" x14ac:dyDescent="0.25">
      <c r="A22" s="10" t="s">
        <v>16</v>
      </c>
      <c r="B22" s="11"/>
      <c r="C22" s="22">
        <v>1.5</v>
      </c>
      <c r="D22" s="14" t="s">
        <v>24</v>
      </c>
    </row>
    <row r="23" spans="1:4" s="3" customFormat="1" ht="15" x14ac:dyDescent="0.25">
      <c r="A23" s="10" t="s">
        <v>17</v>
      </c>
      <c r="B23" s="11"/>
      <c r="C23" s="21">
        <v>4</v>
      </c>
      <c r="D23" s="15"/>
    </row>
    <row r="24" spans="1:4" s="3" customFormat="1" ht="15" x14ac:dyDescent="0.25">
      <c r="A24" s="10" t="s">
        <v>18</v>
      </c>
      <c r="B24" s="11"/>
      <c r="C24" s="20">
        <v>500</v>
      </c>
      <c r="D24" s="16"/>
    </row>
    <row r="25" spans="1:4" s="3" customFormat="1" ht="15" x14ac:dyDescent="0.25">
      <c r="A25" s="10"/>
      <c r="B25" s="11"/>
      <c r="C25" s="17"/>
      <c r="D25" s="18"/>
    </row>
    <row r="26" spans="1:4" s="3" customFormat="1" ht="15" x14ac:dyDescent="0.25">
      <c r="A26" s="10" t="s">
        <v>19</v>
      </c>
      <c r="B26" s="11"/>
      <c r="C26" s="57" t="str">
        <f>'Hardware details'!E10</f>
        <v>Dell server</v>
      </c>
      <c r="D26" s="14"/>
    </row>
    <row r="27" spans="1:4" s="3" customFormat="1" ht="15" x14ac:dyDescent="0.25">
      <c r="A27" s="10"/>
      <c r="B27" s="11"/>
      <c r="C27" s="58"/>
      <c r="D27" s="16"/>
    </row>
    <row r="28" spans="1:4" s="3" customFormat="1" x14ac:dyDescent="0.3">
      <c r="A28" s="10" t="s">
        <v>20</v>
      </c>
      <c r="B28" s="11"/>
      <c r="C28" s="59">
        <v>22.5</v>
      </c>
      <c r="D28" s="18"/>
    </row>
    <row r="29" spans="1:4" s="3" customFormat="1" x14ac:dyDescent="0.3">
      <c r="A29" s="10" t="s">
        <v>23</v>
      </c>
      <c r="B29" s="11"/>
      <c r="C29" s="60">
        <f>'Variable costs'!I18</f>
        <v>0.52777777777777779</v>
      </c>
      <c r="D29" s="18"/>
    </row>
    <row r="30" spans="1:4" s="3" customFormat="1" ht="15" thickBot="1" x14ac:dyDescent="0.35">
      <c r="A30" s="12" t="s">
        <v>25</v>
      </c>
      <c r="B30" s="13"/>
      <c r="C30" s="61">
        <f>C28-C29</f>
        <v>21.972222222222221</v>
      </c>
      <c r="D30" s="19"/>
    </row>
    <row r="31" spans="1:4" s="3" customFormat="1" ht="15" x14ac:dyDescent="0.25">
      <c r="C31" s="5"/>
      <c r="D31" s="5"/>
    </row>
    <row r="32" spans="1:4" s="3" customFormat="1" ht="19.5" thickBot="1" x14ac:dyDescent="0.35">
      <c r="A32" s="1" t="s">
        <v>12</v>
      </c>
      <c r="B32"/>
      <c r="C32" s="4"/>
      <c r="D32" s="4"/>
    </row>
    <row r="33" spans="1:4" s="3" customFormat="1" ht="18.75" x14ac:dyDescent="0.3">
      <c r="A33" s="6"/>
      <c r="B33" s="7"/>
      <c r="C33" s="8" t="s">
        <v>21</v>
      </c>
      <c r="D33" s="9" t="s">
        <v>22</v>
      </c>
    </row>
    <row r="34" spans="1:4" ht="30" x14ac:dyDescent="0.25">
      <c r="A34" s="10" t="s">
        <v>16</v>
      </c>
      <c r="B34" s="11"/>
      <c r="C34" s="22">
        <v>2</v>
      </c>
      <c r="D34" s="14" t="s">
        <v>24</v>
      </c>
    </row>
    <row r="35" spans="1:4" ht="15" x14ac:dyDescent="0.25">
      <c r="A35" s="10" t="s">
        <v>17</v>
      </c>
      <c r="B35" s="11"/>
      <c r="C35" s="21">
        <v>6</v>
      </c>
      <c r="D35" s="15"/>
    </row>
    <row r="36" spans="1:4" ht="15" x14ac:dyDescent="0.25">
      <c r="A36" s="10" t="s">
        <v>18</v>
      </c>
      <c r="B36" s="11"/>
      <c r="C36" s="20">
        <v>1000</v>
      </c>
      <c r="D36" s="16"/>
    </row>
    <row r="37" spans="1:4" x14ac:dyDescent="0.3">
      <c r="A37" s="10"/>
      <c r="B37" s="11"/>
      <c r="C37" s="17"/>
      <c r="D37" s="18"/>
    </row>
    <row r="38" spans="1:4" x14ac:dyDescent="0.3">
      <c r="A38" s="10" t="s">
        <v>19</v>
      </c>
      <c r="B38" s="11"/>
      <c r="C38" s="57" t="str">
        <f>'Hardware details'!G10</f>
        <v>Dell server</v>
      </c>
      <c r="D38" s="14"/>
    </row>
    <row r="39" spans="1:4" x14ac:dyDescent="0.3">
      <c r="A39" s="10"/>
      <c r="B39" s="11"/>
      <c r="C39" s="58"/>
      <c r="D39" s="16"/>
    </row>
    <row r="40" spans="1:4" x14ac:dyDescent="0.3">
      <c r="A40" s="10" t="s">
        <v>20</v>
      </c>
      <c r="B40" s="11"/>
      <c r="C40" s="59">
        <v>27.5</v>
      </c>
      <c r="D40" s="18"/>
    </row>
    <row r="41" spans="1:4" x14ac:dyDescent="0.3">
      <c r="A41" s="10" t="s">
        <v>23</v>
      </c>
      <c r="B41" s="11"/>
      <c r="C41" s="60">
        <f>'Variable costs'!I19</f>
        <v>1.0138888888888888</v>
      </c>
      <c r="D41" s="18"/>
    </row>
    <row r="42" spans="1:4" ht="15" thickBot="1" x14ac:dyDescent="0.35">
      <c r="A42" s="12" t="s">
        <v>25</v>
      </c>
      <c r="B42" s="13"/>
      <c r="C42" s="61">
        <f>C40-C41</f>
        <v>26.486111111111111</v>
      </c>
      <c r="D42" s="19"/>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J26"/>
  <sheetViews>
    <sheetView workbookViewId="0">
      <selection activeCell="G12" sqref="G12:H12"/>
    </sheetView>
  </sheetViews>
  <sheetFormatPr defaultRowHeight="14.4" x14ac:dyDescent="0.3"/>
  <cols>
    <col min="1" max="1" width="9.6640625" customWidth="1"/>
    <col min="2" max="2" width="11.109375" customWidth="1"/>
    <col min="4" max="4" width="11.88671875" customWidth="1"/>
    <col min="6" max="6" width="12.44140625" customWidth="1"/>
    <col min="8" max="8" width="11.6640625" customWidth="1"/>
    <col min="9" max="9" width="10.88671875" customWidth="1"/>
  </cols>
  <sheetData>
    <row r="1" spans="1:8" ht="21" x14ac:dyDescent="0.35">
      <c r="A1" s="2" t="s">
        <v>26</v>
      </c>
    </row>
    <row r="8" spans="1:8" ht="18.75" x14ac:dyDescent="0.3">
      <c r="A8" s="1" t="s">
        <v>27</v>
      </c>
    </row>
    <row r="9" spans="1:8" s="3" customFormat="1" ht="15" x14ac:dyDescent="0.25">
      <c r="C9" s="67" t="s">
        <v>10</v>
      </c>
      <c r="D9" s="67"/>
      <c r="E9" s="67" t="s">
        <v>11</v>
      </c>
      <c r="F9" s="67"/>
      <c r="G9" s="67" t="s">
        <v>12</v>
      </c>
      <c r="H9" s="67"/>
    </row>
    <row r="10" spans="1:8" ht="15" x14ac:dyDescent="0.25">
      <c r="A10" s="62" t="s">
        <v>28</v>
      </c>
      <c r="B10" s="62"/>
      <c r="C10" s="62" t="s">
        <v>78</v>
      </c>
      <c r="D10" s="62"/>
      <c r="E10" s="62" t="s">
        <v>78</v>
      </c>
      <c r="F10" s="62"/>
      <c r="G10" s="62" t="s">
        <v>78</v>
      </c>
      <c r="H10" s="62"/>
    </row>
    <row r="11" spans="1:8" ht="15" x14ac:dyDescent="0.25">
      <c r="A11" s="62" t="s">
        <v>85</v>
      </c>
      <c r="B11" s="62"/>
      <c r="C11" s="70">
        <v>5.0000000000000001E-3</v>
      </c>
      <c r="D11" s="70"/>
      <c r="E11" s="70">
        <v>0.01</v>
      </c>
      <c r="F11" s="70"/>
      <c r="G11" s="70">
        <v>0.02</v>
      </c>
      <c r="H11" s="70"/>
    </row>
    <row r="12" spans="1:8" ht="15" x14ac:dyDescent="0.25">
      <c r="A12" s="62" t="s">
        <v>29</v>
      </c>
      <c r="B12" s="62"/>
      <c r="C12" s="65">
        <v>1750</v>
      </c>
      <c r="D12" s="65"/>
      <c r="E12" s="65">
        <f>C12</f>
        <v>1750</v>
      </c>
      <c r="F12" s="65"/>
      <c r="G12" s="65">
        <f>C12</f>
        <v>1750</v>
      </c>
      <c r="H12" s="65"/>
    </row>
    <row r="13" spans="1:8" x14ac:dyDescent="0.3">
      <c r="A13" s="62" t="s">
        <v>32</v>
      </c>
      <c r="B13" s="62"/>
      <c r="C13" s="64">
        <f>1/C11</f>
        <v>200</v>
      </c>
      <c r="D13" s="64"/>
      <c r="E13" s="64">
        <f t="shared" ref="E13" si="0">1/E11</f>
        <v>100</v>
      </c>
      <c r="F13" s="64"/>
      <c r="G13" s="64">
        <f t="shared" ref="G13" si="1">1/G11</f>
        <v>50</v>
      </c>
      <c r="H13" s="64"/>
    </row>
    <row r="14" spans="1:8" ht="15" x14ac:dyDescent="0.25">
      <c r="A14" s="62" t="s">
        <v>13</v>
      </c>
      <c r="B14" s="62"/>
      <c r="C14" s="69" t="s">
        <v>80</v>
      </c>
      <c r="D14" s="69"/>
      <c r="E14" s="69" t="s">
        <v>80</v>
      </c>
      <c r="F14" s="69"/>
      <c r="G14" s="69" t="s">
        <v>80</v>
      </c>
      <c r="H14" s="69"/>
    </row>
    <row r="15" spans="1:8" ht="15" x14ac:dyDescent="0.25">
      <c r="A15" s="62" t="s">
        <v>14</v>
      </c>
      <c r="B15" s="62"/>
      <c r="C15" s="63">
        <v>32</v>
      </c>
      <c r="D15" s="63"/>
      <c r="E15" s="63">
        <v>32</v>
      </c>
      <c r="F15" s="63"/>
      <c r="G15" s="63">
        <v>32</v>
      </c>
      <c r="H15" s="63"/>
    </row>
    <row r="16" spans="1:8" ht="15" x14ac:dyDescent="0.25">
      <c r="A16" s="62" t="s">
        <v>15</v>
      </c>
      <c r="B16" s="62"/>
      <c r="C16" s="63" t="s">
        <v>79</v>
      </c>
      <c r="D16" s="63"/>
      <c r="E16" s="63" t="s">
        <v>79</v>
      </c>
      <c r="F16" s="63"/>
      <c r="G16" s="63" t="s">
        <v>79</v>
      </c>
      <c r="H16" s="63"/>
    </row>
    <row r="17" spans="1:10" ht="15" x14ac:dyDescent="0.25">
      <c r="A17" s="62" t="s">
        <v>39</v>
      </c>
      <c r="B17" s="62"/>
      <c r="C17" s="68"/>
      <c r="D17" s="68"/>
      <c r="E17" s="68"/>
      <c r="F17" s="68"/>
      <c r="G17" s="68"/>
      <c r="H17" s="68"/>
    </row>
    <row r="19" spans="1:10" ht="18.75" x14ac:dyDescent="0.3">
      <c r="A19" s="1" t="s">
        <v>31</v>
      </c>
    </row>
    <row r="20" spans="1:10" ht="15" x14ac:dyDescent="0.25">
      <c r="A20" s="3"/>
      <c r="B20" s="3"/>
      <c r="C20" s="67" t="s">
        <v>33</v>
      </c>
      <c r="D20" s="67"/>
      <c r="E20" s="67" t="s">
        <v>34</v>
      </c>
      <c r="F20" s="67"/>
      <c r="G20" s="67" t="s">
        <v>35</v>
      </c>
      <c r="H20" s="67"/>
      <c r="I20" s="62" t="s">
        <v>71</v>
      </c>
      <c r="J20" s="62"/>
    </row>
    <row r="21" spans="1:10" ht="15" x14ac:dyDescent="0.25">
      <c r="A21" s="62" t="s">
        <v>28</v>
      </c>
      <c r="B21" s="62"/>
      <c r="C21" s="62" t="s">
        <v>33</v>
      </c>
      <c r="D21" s="62"/>
      <c r="E21" s="62" t="s">
        <v>34</v>
      </c>
      <c r="F21" s="62"/>
      <c r="G21" s="62"/>
      <c r="H21" s="62"/>
      <c r="I21" s="62"/>
      <c r="J21" s="62"/>
    </row>
    <row r="22" spans="1:10" ht="15" x14ac:dyDescent="0.25">
      <c r="A22" s="62" t="s">
        <v>29</v>
      </c>
      <c r="B22" s="62"/>
      <c r="C22" s="65">
        <v>1500</v>
      </c>
      <c r="D22" s="65"/>
      <c r="E22" s="65">
        <v>1000</v>
      </c>
      <c r="F22" s="65"/>
      <c r="G22" s="66"/>
      <c r="H22" s="66"/>
      <c r="I22" s="62">
        <v>2000</v>
      </c>
      <c r="J22" s="62"/>
    </row>
    <row r="23" spans="1:10" x14ac:dyDescent="0.3">
      <c r="A23" s="62" t="s">
        <v>32</v>
      </c>
      <c r="B23" s="62"/>
      <c r="C23" s="62">
        <v>1000</v>
      </c>
      <c r="D23" s="62"/>
      <c r="E23" s="64">
        <f>30000</f>
        <v>30000</v>
      </c>
      <c r="F23" s="64"/>
      <c r="G23" s="62"/>
      <c r="H23" s="62"/>
      <c r="I23" s="62" t="s">
        <v>70</v>
      </c>
      <c r="J23" s="62"/>
    </row>
    <row r="24" spans="1:10" ht="15" x14ac:dyDescent="0.25">
      <c r="A24" s="62" t="s">
        <v>30</v>
      </c>
      <c r="B24" s="62"/>
      <c r="C24" s="62"/>
      <c r="D24" s="62"/>
      <c r="E24" s="62"/>
      <c r="F24" s="62"/>
      <c r="G24" s="62"/>
      <c r="H24" s="62"/>
      <c r="I24" s="62"/>
      <c r="J24" s="62"/>
    </row>
    <row r="26" spans="1:10" ht="18.75" x14ac:dyDescent="0.3">
      <c r="A26" s="1"/>
    </row>
  </sheetData>
  <mergeCells count="59">
    <mergeCell ref="A11:B11"/>
    <mergeCell ref="C11:D11"/>
    <mergeCell ref="E11:F11"/>
    <mergeCell ref="G11:H11"/>
    <mergeCell ref="C9:D9"/>
    <mergeCell ref="E9:F9"/>
    <mergeCell ref="G9:H9"/>
    <mergeCell ref="C12:D12"/>
    <mergeCell ref="C17:D17"/>
    <mergeCell ref="E10:F10"/>
    <mergeCell ref="E12:F12"/>
    <mergeCell ref="G13:H13"/>
    <mergeCell ref="C15:D15"/>
    <mergeCell ref="E15:F15"/>
    <mergeCell ref="G15:H15"/>
    <mergeCell ref="A10:B10"/>
    <mergeCell ref="A12:B12"/>
    <mergeCell ref="E17:F17"/>
    <mergeCell ref="A17:B17"/>
    <mergeCell ref="G10:H10"/>
    <mergeCell ref="G12:H12"/>
    <mergeCell ref="G17:H17"/>
    <mergeCell ref="A13:B13"/>
    <mergeCell ref="C13:D13"/>
    <mergeCell ref="E13:F13"/>
    <mergeCell ref="C10:D10"/>
    <mergeCell ref="A14:B14"/>
    <mergeCell ref="C14:D14"/>
    <mergeCell ref="E14:F14"/>
    <mergeCell ref="G14:H14"/>
    <mergeCell ref="A15:B15"/>
    <mergeCell ref="C20:D20"/>
    <mergeCell ref="E20:F20"/>
    <mergeCell ref="G20:H20"/>
    <mergeCell ref="A21:B21"/>
    <mergeCell ref="C21:D21"/>
    <mergeCell ref="E21:F21"/>
    <mergeCell ref="G21:H21"/>
    <mergeCell ref="C24:D24"/>
    <mergeCell ref="E24:F24"/>
    <mergeCell ref="G24:H24"/>
    <mergeCell ref="A23:B23"/>
    <mergeCell ref="C23:D23"/>
    <mergeCell ref="I22:J22"/>
    <mergeCell ref="I23:J23"/>
    <mergeCell ref="I24:J24"/>
    <mergeCell ref="A16:B16"/>
    <mergeCell ref="C16:D16"/>
    <mergeCell ref="E16:F16"/>
    <mergeCell ref="G16:H16"/>
    <mergeCell ref="I20:J20"/>
    <mergeCell ref="I21:J21"/>
    <mergeCell ref="E23:F23"/>
    <mergeCell ref="G23:H23"/>
    <mergeCell ref="A22:B22"/>
    <mergeCell ref="C22:D22"/>
    <mergeCell ref="E22:F22"/>
    <mergeCell ref="G22:H22"/>
    <mergeCell ref="A24:B2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P27"/>
  <sheetViews>
    <sheetView topLeftCell="A6" workbookViewId="0">
      <selection activeCell="S24" sqref="S24"/>
    </sheetView>
  </sheetViews>
  <sheetFormatPr defaultRowHeight="14.4" x14ac:dyDescent="0.3"/>
  <cols>
    <col min="15" max="16" width="12.33203125" customWidth="1"/>
  </cols>
  <sheetData>
    <row r="1" spans="1:16" ht="21" x14ac:dyDescent="0.35">
      <c r="A1" s="2" t="s">
        <v>36</v>
      </c>
    </row>
    <row r="9" spans="1:16" ht="49.5" x14ac:dyDescent="0.3">
      <c r="A9" s="24" t="s">
        <v>55</v>
      </c>
      <c r="B9" s="25" t="s">
        <v>40</v>
      </c>
      <c r="C9" s="25" t="s">
        <v>41</v>
      </c>
      <c r="D9" s="25" t="s">
        <v>42</v>
      </c>
      <c r="E9" s="25" t="s">
        <v>43</v>
      </c>
      <c r="F9" s="25" t="s">
        <v>44</v>
      </c>
      <c r="G9" s="25" t="s">
        <v>45</v>
      </c>
      <c r="H9" s="25" t="s">
        <v>46</v>
      </c>
      <c r="I9" s="25" t="s">
        <v>47</v>
      </c>
      <c r="J9" s="25" t="s">
        <v>48</v>
      </c>
      <c r="K9" s="25" t="s">
        <v>49</v>
      </c>
      <c r="L9" s="25" t="s">
        <v>50</v>
      </c>
      <c r="M9" s="25" t="s">
        <v>51</v>
      </c>
      <c r="O9" s="31" t="s">
        <v>68</v>
      </c>
      <c r="P9" s="32"/>
    </row>
    <row r="10" spans="1:16" ht="15" x14ac:dyDescent="0.25">
      <c r="A10" s="27" t="s">
        <v>52</v>
      </c>
      <c r="B10" s="28">
        <f>($O$10/12)</f>
        <v>52.083333333333336</v>
      </c>
      <c r="C10" s="28">
        <f>B10+($O$10/12)</f>
        <v>104.16666666666667</v>
      </c>
      <c r="D10" s="28">
        <f t="shared" ref="D10:M10" si="0">C10+($O$10/12)</f>
        <v>156.25</v>
      </c>
      <c r="E10" s="28">
        <f t="shared" si="0"/>
        <v>208.33333333333334</v>
      </c>
      <c r="F10" s="28">
        <f t="shared" si="0"/>
        <v>260.41666666666669</v>
      </c>
      <c r="G10" s="28">
        <f t="shared" si="0"/>
        <v>312.5</v>
      </c>
      <c r="H10" s="28">
        <f t="shared" si="0"/>
        <v>364.58333333333331</v>
      </c>
      <c r="I10" s="28">
        <f t="shared" si="0"/>
        <v>416.66666666666663</v>
      </c>
      <c r="J10" s="28">
        <f t="shared" si="0"/>
        <v>468.74999999999994</v>
      </c>
      <c r="K10" s="28">
        <f t="shared" si="0"/>
        <v>520.83333333333326</v>
      </c>
      <c r="L10" s="28">
        <f t="shared" si="0"/>
        <v>572.91666666666663</v>
      </c>
      <c r="M10" s="28">
        <f t="shared" si="0"/>
        <v>625</v>
      </c>
      <c r="O10" s="29">
        <f>O13*P10</f>
        <v>625</v>
      </c>
      <c r="P10" s="30">
        <v>0.25</v>
      </c>
    </row>
    <row r="11" spans="1:16" ht="15" x14ac:dyDescent="0.25">
      <c r="A11" s="27" t="s">
        <v>53</v>
      </c>
      <c r="B11" s="28">
        <f>($O$11/12)</f>
        <v>104.16666666666667</v>
      </c>
      <c r="C11" s="28">
        <f>B11+($O$11/12)</f>
        <v>208.33333333333334</v>
      </c>
      <c r="D11" s="28">
        <f t="shared" ref="D11:M11" si="1">C11+($O$11/12)</f>
        <v>312.5</v>
      </c>
      <c r="E11" s="28">
        <f t="shared" si="1"/>
        <v>416.66666666666669</v>
      </c>
      <c r="F11" s="28">
        <f t="shared" si="1"/>
        <v>520.83333333333337</v>
      </c>
      <c r="G11" s="28">
        <f t="shared" si="1"/>
        <v>625</v>
      </c>
      <c r="H11" s="28">
        <f t="shared" si="1"/>
        <v>729.16666666666663</v>
      </c>
      <c r="I11" s="28">
        <f t="shared" si="1"/>
        <v>833.33333333333326</v>
      </c>
      <c r="J11" s="28">
        <f t="shared" si="1"/>
        <v>937.49999999999989</v>
      </c>
      <c r="K11" s="28">
        <f t="shared" si="1"/>
        <v>1041.6666666666665</v>
      </c>
      <c r="L11" s="28">
        <f t="shared" si="1"/>
        <v>1145.8333333333333</v>
      </c>
      <c r="M11" s="28">
        <f t="shared" si="1"/>
        <v>1250</v>
      </c>
      <c r="O11" s="29">
        <f>O13*P11</f>
        <v>1250</v>
      </c>
      <c r="P11" s="30">
        <v>0.5</v>
      </c>
    </row>
    <row r="12" spans="1:16" ht="15" x14ac:dyDescent="0.25">
      <c r="A12" s="27" t="s">
        <v>54</v>
      </c>
      <c r="B12" s="28">
        <f>($O$12/12)</f>
        <v>52.083333333333336</v>
      </c>
      <c r="C12" s="28">
        <f>B12+($O$12/12)</f>
        <v>104.16666666666667</v>
      </c>
      <c r="D12" s="28">
        <f t="shared" ref="D12:M12" si="2">C12+($O$12/12)</f>
        <v>156.25</v>
      </c>
      <c r="E12" s="28">
        <f t="shared" si="2"/>
        <v>208.33333333333334</v>
      </c>
      <c r="F12" s="28">
        <f t="shared" si="2"/>
        <v>260.41666666666669</v>
      </c>
      <c r="G12" s="28">
        <f t="shared" si="2"/>
        <v>312.5</v>
      </c>
      <c r="H12" s="28">
        <f t="shared" si="2"/>
        <v>364.58333333333331</v>
      </c>
      <c r="I12" s="28">
        <f t="shared" si="2"/>
        <v>416.66666666666663</v>
      </c>
      <c r="J12" s="28">
        <f t="shared" si="2"/>
        <v>468.74999999999994</v>
      </c>
      <c r="K12" s="28">
        <f t="shared" si="2"/>
        <v>520.83333333333326</v>
      </c>
      <c r="L12" s="28">
        <f t="shared" si="2"/>
        <v>572.91666666666663</v>
      </c>
      <c r="M12" s="28">
        <f t="shared" si="2"/>
        <v>625</v>
      </c>
      <c r="O12" s="29">
        <f>O13*P12</f>
        <v>625</v>
      </c>
      <c r="P12" s="30">
        <v>0.25</v>
      </c>
    </row>
    <row r="13" spans="1:16" ht="15" x14ac:dyDescent="0.25">
      <c r="O13" s="33">
        <v>2500</v>
      </c>
      <c r="P13" s="34">
        <v>1</v>
      </c>
    </row>
    <row r="16" spans="1:16" ht="46.8" x14ac:dyDescent="0.35">
      <c r="A16" s="24" t="s">
        <v>56</v>
      </c>
      <c r="B16" s="26" t="s">
        <v>40</v>
      </c>
      <c r="C16" s="26" t="s">
        <v>41</v>
      </c>
      <c r="D16" s="26" t="s">
        <v>42</v>
      </c>
      <c r="E16" s="26" t="s">
        <v>43</v>
      </c>
      <c r="F16" s="26" t="s">
        <v>44</v>
      </c>
      <c r="G16" s="26" t="s">
        <v>45</v>
      </c>
      <c r="H16" s="26" t="s">
        <v>46</v>
      </c>
      <c r="I16" s="26" t="s">
        <v>47</v>
      </c>
      <c r="J16" s="26" t="s">
        <v>48</v>
      </c>
      <c r="K16" s="26" t="s">
        <v>49</v>
      </c>
      <c r="L16" s="26" t="s">
        <v>50</v>
      </c>
      <c r="M16" s="26" t="s">
        <v>51</v>
      </c>
      <c r="N16" s="23"/>
      <c r="O16" s="31" t="str">
        <f>O9</f>
        <v>Total new sold packages</v>
      </c>
      <c r="P16" s="32"/>
    </row>
    <row r="17" spans="1:16" ht="15" x14ac:dyDescent="0.25">
      <c r="A17" s="27" t="s">
        <v>52</v>
      </c>
      <c r="B17" s="28">
        <f>M10+($O$17/12)</f>
        <v>729.16666666666663</v>
      </c>
      <c r="C17" s="28">
        <f>B17+($O$17/12)</f>
        <v>833.33333333333326</v>
      </c>
      <c r="D17" s="28">
        <f t="shared" ref="D17:M17" si="3">C17+($O$17/12)</f>
        <v>937.49999999999989</v>
      </c>
      <c r="E17" s="28">
        <f t="shared" si="3"/>
        <v>1041.6666666666665</v>
      </c>
      <c r="F17" s="28">
        <f t="shared" si="3"/>
        <v>1145.8333333333333</v>
      </c>
      <c r="G17" s="28">
        <f t="shared" si="3"/>
        <v>1250</v>
      </c>
      <c r="H17" s="28">
        <f t="shared" si="3"/>
        <v>1354.1666666666667</v>
      </c>
      <c r="I17" s="28">
        <f t="shared" si="3"/>
        <v>1458.3333333333335</v>
      </c>
      <c r="J17" s="28">
        <f t="shared" si="3"/>
        <v>1562.5000000000002</v>
      </c>
      <c r="K17" s="28">
        <f t="shared" si="3"/>
        <v>1666.666666666667</v>
      </c>
      <c r="L17" s="28">
        <f t="shared" si="3"/>
        <v>1770.8333333333337</v>
      </c>
      <c r="M17" s="28">
        <f t="shared" si="3"/>
        <v>1875.0000000000005</v>
      </c>
      <c r="O17" s="29">
        <f>O20*P17</f>
        <v>1250</v>
      </c>
      <c r="P17" s="30">
        <v>0.25</v>
      </c>
    </row>
    <row r="18" spans="1:16" ht="15" x14ac:dyDescent="0.25">
      <c r="A18" s="27" t="s">
        <v>53</v>
      </c>
      <c r="B18" s="28">
        <f>M11+($O$18/12)</f>
        <v>1458.3333333333333</v>
      </c>
      <c r="C18" s="28">
        <f>B18+($O$18/12)</f>
        <v>1666.6666666666665</v>
      </c>
      <c r="D18" s="28">
        <f t="shared" ref="D18:M18" si="4">C18+($O$18/12)</f>
        <v>1874.9999999999998</v>
      </c>
      <c r="E18" s="28">
        <f t="shared" si="4"/>
        <v>2083.333333333333</v>
      </c>
      <c r="F18" s="28">
        <f t="shared" si="4"/>
        <v>2291.6666666666665</v>
      </c>
      <c r="G18" s="28">
        <f t="shared" si="4"/>
        <v>2500</v>
      </c>
      <c r="H18" s="28">
        <f t="shared" si="4"/>
        <v>2708.3333333333335</v>
      </c>
      <c r="I18" s="28">
        <f t="shared" si="4"/>
        <v>2916.666666666667</v>
      </c>
      <c r="J18" s="28">
        <f t="shared" si="4"/>
        <v>3125.0000000000005</v>
      </c>
      <c r="K18" s="28">
        <f t="shared" si="4"/>
        <v>3333.3333333333339</v>
      </c>
      <c r="L18" s="28">
        <f t="shared" si="4"/>
        <v>3541.6666666666674</v>
      </c>
      <c r="M18" s="28">
        <f t="shared" si="4"/>
        <v>3750.0000000000009</v>
      </c>
      <c r="O18" s="29">
        <f>O20*P18</f>
        <v>2500</v>
      </c>
      <c r="P18" s="30">
        <v>0.5</v>
      </c>
    </row>
    <row r="19" spans="1:16" ht="15" x14ac:dyDescent="0.25">
      <c r="A19" s="27" t="s">
        <v>54</v>
      </c>
      <c r="B19" s="28">
        <f>M12+($O$19/12)</f>
        <v>729.16666666666663</v>
      </c>
      <c r="C19" s="28">
        <f>B19+($O$19/12)</f>
        <v>833.33333333333326</v>
      </c>
      <c r="D19" s="28">
        <f t="shared" ref="D19:M19" si="5">C19+($O$19/12)</f>
        <v>937.49999999999989</v>
      </c>
      <c r="E19" s="28">
        <f t="shared" si="5"/>
        <v>1041.6666666666665</v>
      </c>
      <c r="F19" s="28">
        <f t="shared" si="5"/>
        <v>1145.8333333333333</v>
      </c>
      <c r="G19" s="28">
        <f t="shared" si="5"/>
        <v>1250</v>
      </c>
      <c r="H19" s="28">
        <f t="shared" si="5"/>
        <v>1354.1666666666667</v>
      </c>
      <c r="I19" s="28">
        <f t="shared" si="5"/>
        <v>1458.3333333333335</v>
      </c>
      <c r="J19" s="28">
        <f t="shared" si="5"/>
        <v>1562.5000000000002</v>
      </c>
      <c r="K19" s="28">
        <f t="shared" si="5"/>
        <v>1666.666666666667</v>
      </c>
      <c r="L19" s="28">
        <f t="shared" si="5"/>
        <v>1770.8333333333337</v>
      </c>
      <c r="M19" s="28">
        <f t="shared" si="5"/>
        <v>1875.0000000000005</v>
      </c>
      <c r="O19" s="29">
        <f>O20*P19</f>
        <v>1250</v>
      </c>
      <c r="P19" s="30">
        <v>0.25</v>
      </c>
    </row>
    <row r="20" spans="1:16" ht="15" x14ac:dyDescent="0.25">
      <c r="O20" s="33">
        <v>5000</v>
      </c>
      <c r="P20" s="34">
        <v>1</v>
      </c>
    </row>
    <row r="23" spans="1:16" ht="49.5" x14ac:dyDescent="0.3">
      <c r="A23" s="24" t="s">
        <v>57</v>
      </c>
      <c r="B23" s="26" t="s">
        <v>40</v>
      </c>
      <c r="C23" s="26" t="s">
        <v>41</v>
      </c>
      <c r="D23" s="26" t="s">
        <v>42</v>
      </c>
      <c r="E23" s="26" t="s">
        <v>43</v>
      </c>
      <c r="F23" s="26" t="s">
        <v>44</v>
      </c>
      <c r="G23" s="26" t="s">
        <v>45</v>
      </c>
      <c r="H23" s="26" t="s">
        <v>46</v>
      </c>
      <c r="I23" s="26" t="s">
        <v>47</v>
      </c>
      <c r="J23" s="26" t="s">
        <v>48</v>
      </c>
      <c r="K23" s="26" t="s">
        <v>49</v>
      </c>
      <c r="L23" s="26" t="s">
        <v>50</v>
      </c>
      <c r="M23" s="26" t="s">
        <v>51</v>
      </c>
      <c r="O23" s="31" t="str">
        <f>O9</f>
        <v>Total new sold packages</v>
      </c>
      <c r="P23" s="32"/>
    </row>
    <row r="24" spans="1:16" ht="15" x14ac:dyDescent="0.25">
      <c r="A24" s="27" t="s">
        <v>52</v>
      </c>
      <c r="B24" s="28">
        <f>M17+($O$24/12)</f>
        <v>2083.3333333333339</v>
      </c>
      <c r="C24" s="28">
        <f>B24+($O$24/12)</f>
        <v>2291.6666666666674</v>
      </c>
      <c r="D24" s="28">
        <f t="shared" ref="D24:M24" si="6">C24+($O$24/12)</f>
        <v>2500.0000000000009</v>
      </c>
      <c r="E24" s="28">
        <f t="shared" si="6"/>
        <v>2708.3333333333344</v>
      </c>
      <c r="F24" s="28">
        <f t="shared" si="6"/>
        <v>2916.6666666666679</v>
      </c>
      <c r="G24" s="28">
        <f t="shared" si="6"/>
        <v>3125.0000000000014</v>
      </c>
      <c r="H24" s="28">
        <f t="shared" si="6"/>
        <v>3333.3333333333348</v>
      </c>
      <c r="I24" s="28">
        <f t="shared" si="6"/>
        <v>3541.6666666666683</v>
      </c>
      <c r="J24" s="28">
        <f t="shared" si="6"/>
        <v>3750.0000000000018</v>
      </c>
      <c r="K24" s="28">
        <f t="shared" si="6"/>
        <v>3958.3333333333353</v>
      </c>
      <c r="L24" s="28">
        <f t="shared" si="6"/>
        <v>4166.6666666666688</v>
      </c>
      <c r="M24" s="28">
        <f t="shared" si="6"/>
        <v>4375.0000000000018</v>
      </c>
      <c r="O24" s="29">
        <f>O27*P24</f>
        <v>2500</v>
      </c>
      <c r="P24" s="30">
        <v>0.25</v>
      </c>
    </row>
    <row r="25" spans="1:16" ht="15" x14ac:dyDescent="0.25">
      <c r="A25" s="27" t="s">
        <v>53</v>
      </c>
      <c r="B25" s="28">
        <f>M18+($O$25/12)</f>
        <v>4166.6666666666679</v>
      </c>
      <c r="C25" s="28">
        <f>B25+($O$25/12)</f>
        <v>4583.3333333333348</v>
      </c>
      <c r="D25" s="28">
        <f t="shared" ref="D25:M25" si="7">C25+($O$25/12)</f>
        <v>5000.0000000000018</v>
      </c>
      <c r="E25" s="28">
        <f t="shared" si="7"/>
        <v>5416.6666666666688</v>
      </c>
      <c r="F25" s="28">
        <f t="shared" si="7"/>
        <v>5833.3333333333358</v>
      </c>
      <c r="G25" s="28">
        <f t="shared" si="7"/>
        <v>6250.0000000000027</v>
      </c>
      <c r="H25" s="28">
        <f t="shared" si="7"/>
        <v>6666.6666666666697</v>
      </c>
      <c r="I25" s="28">
        <f t="shared" si="7"/>
        <v>7083.3333333333367</v>
      </c>
      <c r="J25" s="28">
        <f t="shared" si="7"/>
        <v>7500.0000000000036</v>
      </c>
      <c r="K25" s="28">
        <f t="shared" si="7"/>
        <v>7916.6666666666706</v>
      </c>
      <c r="L25" s="28">
        <f t="shared" si="7"/>
        <v>8333.3333333333376</v>
      </c>
      <c r="M25" s="28">
        <f t="shared" si="7"/>
        <v>8750.0000000000036</v>
      </c>
      <c r="O25" s="29">
        <f>O27*P25</f>
        <v>5000</v>
      </c>
      <c r="P25" s="30">
        <v>0.5</v>
      </c>
    </row>
    <row r="26" spans="1:16" ht="15" x14ac:dyDescent="0.25">
      <c r="A26" s="27" t="s">
        <v>54</v>
      </c>
      <c r="B26" s="28">
        <f>M19+($O$26/12)</f>
        <v>2083.3333333333339</v>
      </c>
      <c r="C26" s="28">
        <f>B26+($O$26/12)</f>
        <v>2291.6666666666674</v>
      </c>
      <c r="D26" s="28">
        <f t="shared" ref="D26:M26" si="8">C26+($O$26/12)</f>
        <v>2500.0000000000009</v>
      </c>
      <c r="E26" s="28">
        <f t="shared" si="8"/>
        <v>2708.3333333333344</v>
      </c>
      <c r="F26" s="28">
        <f t="shared" si="8"/>
        <v>2916.6666666666679</v>
      </c>
      <c r="G26" s="28">
        <f t="shared" si="8"/>
        <v>3125.0000000000014</v>
      </c>
      <c r="H26" s="28">
        <f t="shared" si="8"/>
        <v>3333.3333333333348</v>
      </c>
      <c r="I26" s="28">
        <f t="shared" si="8"/>
        <v>3541.6666666666683</v>
      </c>
      <c r="J26" s="28">
        <f t="shared" si="8"/>
        <v>3750.0000000000018</v>
      </c>
      <c r="K26" s="28">
        <f t="shared" si="8"/>
        <v>3958.3333333333353</v>
      </c>
      <c r="L26" s="28">
        <f t="shared" si="8"/>
        <v>4166.6666666666688</v>
      </c>
      <c r="M26" s="28">
        <f t="shared" si="8"/>
        <v>4375.0000000000018</v>
      </c>
      <c r="O26" s="29">
        <f>O27*P26</f>
        <v>2500</v>
      </c>
      <c r="P26" s="30">
        <v>0.25</v>
      </c>
    </row>
    <row r="27" spans="1:16" ht="15" x14ac:dyDescent="0.25">
      <c r="O27" s="33">
        <v>10000</v>
      </c>
      <c r="P27" s="34">
        <v>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59999389629810485"/>
  </sheetPr>
  <dimension ref="A1:Q29"/>
  <sheetViews>
    <sheetView topLeftCell="A9" workbookViewId="0">
      <selection activeCell="I29" sqref="I29"/>
    </sheetView>
  </sheetViews>
  <sheetFormatPr defaultRowHeight="14.4" x14ac:dyDescent="0.3"/>
  <cols>
    <col min="1" max="1" width="16.33203125" customWidth="1"/>
    <col min="15" max="16" width="12.33203125" customWidth="1"/>
  </cols>
  <sheetData>
    <row r="1" spans="1:17" ht="21" x14ac:dyDescent="0.35">
      <c r="A1" s="2" t="s">
        <v>72</v>
      </c>
    </row>
    <row r="9" spans="1:17" ht="49.5" x14ac:dyDescent="0.3">
      <c r="A9" s="24" t="s">
        <v>55</v>
      </c>
      <c r="B9" s="25" t="s">
        <v>40</v>
      </c>
      <c r="C9" s="25" t="s">
        <v>41</v>
      </c>
      <c r="D9" s="25" t="s">
        <v>42</v>
      </c>
      <c r="E9" s="25" t="s">
        <v>43</v>
      </c>
      <c r="F9" s="25" t="s">
        <v>44</v>
      </c>
      <c r="G9" s="25" t="s">
        <v>45</v>
      </c>
      <c r="H9" s="25" t="s">
        <v>46</v>
      </c>
      <c r="I9" s="25" t="s">
        <v>47</v>
      </c>
      <c r="J9" s="25" t="s">
        <v>48</v>
      </c>
      <c r="K9" s="25" t="s">
        <v>49</v>
      </c>
      <c r="L9" s="25" t="s">
        <v>50</v>
      </c>
      <c r="M9" s="25" t="s">
        <v>51</v>
      </c>
      <c r="N9" s="51"/>
      <c r="O9" s="52"/>
      <c r="P9" s="51"/>
      <c r="Q9" s="51"/>
    </row>
    <row r="10" spans="1:17" ht="15" x14ac:dyDescent="0.25">
      <c r="A10" s="27" t="s">
        <v>73</v>
      </c>
      <c r="B10" s="56">
        <f>ROUNDUP('Sales forecast'!B10/'Variable costs'!$C12,0)</f>
        <v>1</v>
      </c>
      <c r="C10" s="56">
        <f>ROUNDUP('Sales forecast'!C10/'Variable costs'!$C12,0)</f>
        <v>1</v>
      </c>
      <c r="D10" s="56">
        <f>ROUNDUP('Sales forecast'!D10/'Variable costs'!$C12,0)</f>
        <v>1</v>
      </c>
      <c r="E10" s="56">
        <f>ROUNDUP('Sales forecast'!E10/'Variable costs'!$C12,0)</f>
        <v>2</v>
      </c>
      <c r="F10" s="56">
        <f>ROUNDUP('Sales forecast'!F10/'Variable costs'!$C12,0)</f>
        <v>2</v>
      </c>
      <c r="G10" s="56">
        <f>ROUNDUP('Sales forecast'!G10/'Variable costs'!$C12,0)</f>
        <v>2</v>
      </c>
      <c r="H10" s="56">
        <f>ROUNDUP('Sales forecast'!H10/'Variable costs'!$C12,0)</f>
        <v>2</v>
      </c>
      <c r="I10" s="56">
        <f>ROUNDUP('Sales forecast'!I10/'Variable costs'!$C12,0)</f>
        <v>3</v>
      </c>
      <c r="J10" s="56">
        <f>ROUNDUP('Sales forecast'!J10/'Variable costs'!$C12,0)</f>
        <v>3</v>
      </c>
      <c r="K10" s="56">
        <f>ROUNDUP('Sales forecast'!K10/'Variable costs'!$C12,0)</f>
        <v>3</v>
      </c>
      <c r="L10" s="56">
        <f>ROUNDUP('Sales forecast'!L10/'Variable costs'!$C12,0)</f>
        <v>3</v>
      </c>
      <c r="M10" s="56">
        <f>ROUNDUP('Sales forecast'!M10/'Variable costs'!$C12,0)</f>
        <v>4</v>
      </c>
      <c r="N10" s="51"/>
      <c r="O10" s="53"/>
      <c r="P10" s="54"/>
      <c r="Q10" s="51"/>
    </row>
    <row r="11" spans="1:17" ht="15" x14ac:dyDescent="0.25">
      <c r="A11" s="27" t="s">
        <v>74</v>
      </c>
      <c r="B11" s="56">
        <f>ROUNDUP('Sales forecast'!B11/'Variable costs'!$C13,0)</f>
        <v>2</v>
      </c>
      <c r="C11" s="56">
        <f>ROUNDUP('Sales forecast'!C11/'Variable costs'!$C13,0)</f>
        <v>3</v>
      </c>
      <c r="D11" s="56">
        <f>ROUNDUP('Sales forecast'!D11/'Variable costs'!$C13,0)</f>
        <v>4</v>
      </c>
      <c r="E11" s="56">
        <f>ROUNDUP('Sales forecast'!E11/'Variable costs'!$C13,0)</f>
        <v>5</v>
      </c>
      <c r="F11" s="56">
        <f>ROUNDUP('Sales forecast'!F11/'Variable costs'!$C13,0)</f>
        <v>6</v>
      </c>
      <c r="G11" s="56">
        <f>ROUNDUP('Sales forecast'!G11/'Variable costs'!$C13,0)</f>
        <v>7</v>
      </c>
      <c r="H11" s="56">
        <f>ROUNDUP('Sales forecast'!H11/'Variable costs'!$C13,0)</f>
        <v>8</v>
      </c>
      <c r="I11" s="56">
        <f>ROUNDUP('Sales forecast'!I11/'Variable costs'!$C13,0)</f>
        <v>9</v>
      </c>
      <c r="J11" s="56">
        <f>ROUNDUP('Sales forecast'!J11/'Variable costs'!$C13,0)</f>
        <v>10</v>
      </c>
      <c r="K11" s="56">
        <f>ROUNDUP('Sales forecast'!K11/'Variable costs'!$C13,0)</f>
        <v>11</v>
      </c>
      <c r="L11" s="56">
        <f>ROUNDUP('Sales forecast'!L11/'Variable costs'!$C13,0)</f>
        <v>12</v>
      </c>
      <c r="M11" s="56">
        <f>ROUNDUP('Sales forecast'!M11/'Variable costs'!$C13,0)</f>
        <v>13</v>
      </c>
      <c r="N11" s="51"/>
      <c r="O11" s="53"/>
      <c r="P11" s="54"/>
      <c r="Q11" s="51"/>
    </row>
    <row r="12" spans="1:17" ht="15" x14ac:dyDescent="0.25">
      <c r="A12" s="27" t="s">
        <v>75</v>
      </c>
      <c r="B12" s="56">
        <f>ROUNDUP('Sales forecast'!B12/'Variable costs'!$C14,0)</f>
        <v>2</v>
      </c>
      <c r="C12" s="56">
        <f>ROUNDUP('Sales forecast'!C12/'Variable costs'!$C14,0)</f>
        <v>3</v>
      </c>
      <c r="D12" s="56">
        <f>ROUNDUP('Sales forecast'!D12/'Variable costs'!$C14,0)</f>
        <v>4</v>
      </c>
      <c r="E12" s="56">
        <f>ROUNDUP('Sales forecast'!E12/'Variable costs'!$C14,0)</f>
        <v>5</v>
      </c>
      <c r="F12" s="56">
        <f>ROUNDUP('Sales forecast'!F12/'Variable costs'!$C14,0)</f>
        <v>6</v>
      </c>
      <c r="G12" s="56">
        <f>ROUNDUP('Sales forecast'!G12/'Variable costs'!$C14,0)</f>
        <v>7</v>
      </c>
      <c r="H12" s="56">
        <f>ROUNDUP('Sales forecast'!H12/'Variable costs'!$C14,0)</f>
        <v>8</v>
      </c>
      <c r="I12" s="56">
        <f>ROUNDUP('Sales forecast'!I12/'Variable costs'!$C14,0)</f>
        <v>9</v>
      </c>
      <c r="J12" s="56">
        <f>ROUNDUP('Sales forecast'!J12/'Variable costs'!$C14,0)</f>
        <v>10</v>
      </c>
      <c r="K12" s="56">
        <f>ROUNDUP('Sales forecast'!K12/'Variable costs'!$C14,0)</f>
        <v>11</v>
      </c>
      <c r="L12" s="56">
        <f>ROUNDUP('Sales forecast'!L12/'Variable costs'!$C14,0)</f>
        <v>12</v>
      </c>
      <c r="M12" s="56">
        <f>ROUNDUP('Sales forecast'!M12/'Variable costs'!$C14,0)</f>
        <v>13</v>
      </c>
      <c r="N12" s="51"/>
      <c r="O12" s="53"/>
      <c r="P12" s="54"/>
      <c r="Q12" s="51"/>
    </row>
    <row r="13" spans="1:17" ht="15" x14ac:dyDescent="0.25">
      <c r="A13" s="27" t="s">
        <v>76</v>
      </c>
      <c r="B13" s="56">
        <v>2</v>
      </c>
      <c r="C13" s="56">
        <f>ROUNDUP(SUM('Sales forecast'!C$10:C$12)/'Variable costs'!$C$15,0)</f>
        <v>1</v>
      </c>
      <c r="D13" s="56">
        <f>ROUNDUP(SUM('Sales forecast'!D$10:D$12)/'Variable costs'!$C$15,0)</f>
        <v>1</v>
      </c>
      <c r="E13" s="56">
        <f>ROUNDUP(SUM('Sales forecast'!E$10:E$12)/'Variable costs'!$C$15,0)</f>
        <v>1</v>
      </c>
      <c r="F13" s="56">
        <f>ROUNDUP(SUM('Sales forecast'!F$10:F$12)/'Variable costs'!$C$15,0)</f>
        <v>2</v>
      </c>
      <c r="G13" s="56">
        <f>ROUNDUP(SUM('Sales forecast'!G$10:G$12)/'Variable costs'!$C$15,0)</f>
        <v>2</v>
      </c>
      <c r="H13" s="56">
        <f>ROUNDUP(SUM('Sales forecast'!H$10:H$12)/'Variable costs'!$C$15,0)</f>
        <v>2</v>
      </c>
      <c r="I13" s="56">
        <f>ROUNDUP(SUM('Sales forecast'!I$10:I$12)/'Variable costs'!$C$15,0)</f>
        <v>2</v>
      </c>
      <c r="J13" s="56">
        <f>ROUNDUP(SUM('Sales forecast'!J$10:J$12)/'Variable costs'!$C$15,0)</f>
        <v>2</v>
      </c>
      <c r="K13" s="56">
        <f>ROUNDUP(SUM('Sales forecast'!K$10:K$12)/'Variable costs'!$C$15,0)</f>
        <v>3</v>
      </c>
      <c r="L13" s="56">
        <f>ROUNDUP(SUM('Sales forecast'!L$10:L$12)/'Variable costs'!$C$15,0)</f>
        <v>3</v>
      </c>
      <c r="M13" s="56">
        <f>ROUNDUP(SUM('Sales forecast'!M$10:M$12)/'Variable costs'!$C$15,0)</f>
        <v>3</v>
      </c>
      <c r="N13" s="51"/>
      <c r="O13" s="53"/>
      <c r="P13" s="54"/>
      <c r="Q13" s="51"/>
    </row>
    <row r="14" spans="1:17" ht="15" x14ac:dyDescent="0.25">
      <c r="A14" s="27" t="s">
        <v>77</v>
      </c>
      <c r="B14" s="56">
        <f>ROUNDUP(SUM('Sales forecast'!B$10:B$12)/'Variable costs'!C16,0)</f>
        <v>1</v>
      </c>
      <c r="C14" s="56">
        <f>ROUNDUP(SUM('Sales forecast'!C$10:C$12)/'Variable costs'!$C16,0)</f>
        <v>1</v>
      </c>
      <c r="D14" s="56">
        <f>ROUNDUP(SUM('Sales forecast'!D$10:D$12)/'Variable costs'!$C16,0)</f>
        <v>1</v>
      </c>
      <c r="E14" s="56">
        <f>ROUNDUP(SUM('Sales forecast'!E$10:E$12)/'Variable costs'!$C16,0)</f>
        <v>1</v>
      </c>
      <c r="F14" s="56">
        <f>ROUNDUP(SUM('Sales forecast'!F$10:F$12)/'Variable costs'!$C16,0)</f>
        <v>1</v>
      </c>
      <c r="G14" s="56">
        <f>ROUNDUP(SUM('Sales forecast'!G$10:G$12)/'Variable costs'!$C16,0)</f>
        <v>1</v>
      </c>
      <c r="H14" s="56">
        <f>ROUNDUP(SUM('Sales forecast'!H$10:H$12)/'Variable costs'!$C16,0)</f>
        <v>1</v>
      </c>
      <c r="I14" s="56">
        <f>ROUNDUP(SUM('Sales forecast'!I$10:I$12)/'Variable costs'!$C16,0)</f>
        <v>1</v>
      </c>
      <c r="J14" s="56">
        <f>ROUNDUP(SUM('Sales forecast'!J$10:J$12)/'Variable costs'!$C16,0)</f>
        <v>1</v>
      </c>
      <c r="K14" s="56">
        <f>ROUNDUP(SUM('Sales forecast'!K$10:K$12)/'Variable costs'!$C16,0)</f>
        <v>1</v>
      </c>
      <c r="L14" s="56">
        <f>ROUNDUP(SUM('Sales forecast'!L$10:L$12)/'Variable costs'!$C16,0)</f>
        <v>1</v>
      </c>
      <c r="M14" s="56">
        <f>ROUNDUP(SUM('Sales forecast'!M$10:M$12)/'Variable costs'!$C16,0)</f>
        <v>1</v>
      </c>
      <c r="N14" s="51"/>
      <c r="O14" s="53"/>
      <c r="P14" s="54"/>
      <c r="Q14" s="51"/>
    </row>
    <row r="15" spans="1:17" ht="15" x14ac:dyDescent="0.25">
      <c r="N15" s="51"/>
      <c r="O15" s="51"/>
      <c r="P15" s="51"/>
      <c r="Q15" s="51"/>
    </row>
    <row r="16" spans="1:17" ht="15" x14ac:dyDescent="0.25">
      <c r="N16" s="51"/>
      <c r="O16" s="51"/>
      <c r="P16" s="51"/>
      <c r="Q16" s="51"/>
    </row>
    <row r="17" spans="1:17" ht="46.8" x14ac:dyDescent="0.35">
      <c r="A17" s="24" t="s">
        <v>56</v>
      </c>
      <c r="B17" s="26" t="s">
        <v>40</v>
      </c>
      <c r="C17" s="26" t="s">
        <v>41</v>
      </c>
      <c r="D17" s="26" t="s">
        <v>42</v>
      </c>
      <c r="E17" s="26" t="s">
        <v>43</v>
      </c>
      <c r="F17" s="26" t="s">
        <v>44</v>
      </c>
      <c r="G17" s="26" t="s">
        <v>45</v>
      </c>
      <c r="H17" s="26" t="s">
        <v>46</v>
      </c>
      <c r="I17" s="26" t="s">
        <v>47</v>
      </c>
      <c r="J17" s="26" t="s">
        <v>48</v>
      </c>
      <c r="K17" s="26" t="s">
        <v>49</v>
      </c>
      <c r="L17" s="26" t="s">
        <v>50</v>
      </c>
      <c r="M17" s="26" t="s">
        <v>51</v>
      </c>
      <c r="N17" s="55"/>
      <c r="O17" s="52"/>
      <c r="P17" s="51"/>
      <c r="Q17" s="51"/>
    </row>
    <row r="18" spans="1:17" ht="15" x14ac:dyDescent="0.25">
      <c r="A18" s="27" t="str">
        <f>A10</f>
        <v>Bronze physical</v>
      </c>
      <c r="B18">
        <f>ROUNDUP('Sales forecast'!B17/'Variable costs'!$C12,0)</f>
        <v>4</v>
      </c>
      <c r="C18">
        <f>ROUNDUP('Sales forecast'!C17/'Variable costs'!$C12,0)</f>
        <v>5</v>
      </c>
      <c r="D18">
        <f>ROUNDUP('Sales forecast'!D17/'Variable costs'!$C12,0)</f>
        <v>5</v>
      </c>
      <c r="E18">
        <f>ROUNDUP('Sales forecast'!E17/'Variable costs'!$C12,0)</f>
        <v>6</v>
      </c>
      <c r="F18">
        <f>ROUNDUP('Sales forecast'!F17/'Variable costs'!$C12,0)</f>
        <v>6</v>
      </c>
      <c r="G18">
        <f>ROUNDUP('Sales forecast'!G17/'Variable costs'!$C12,0)</f>
        <v>7</v>
      </c>
      <c r="H18">
        <f>ROUNDUP('Sales forecast'!H17/'Variable costs'!$C12,0)</f>
        <v>7</v>
      </c>
      <c r="I18">
        <f>ROUNDUP('Sales forecast'!I17/'Variable costs'!$C12,0)</f>
        <v>8</v>
      </c>
      <c r="J18">
        <f>ROUNDUP('Sales forecast'!J17/'Variable costs'!$C12,0)</f>
        <v>8</v>
      </c>
      <c r="K18">
        <f>ROUNDUP('Sales forecast'!K17/'Variable costs'!$C12,0)</f>
        <v>9</v>
      </c>
      <c r="L18">
        <f>ROUNDUP('Sales forecast'!L17/'Variable costs'!$C12,0)</f>
        <v>9</v>
      </c>
      <c r="M18">
        <f>ROUNDUP('Sales forecast'!M17/'Variable costs'!$C12,0)</f>
        <v>10</v>
      </c>
      <c r="N18" s="51"/>
      <c r="O18" s="53"/>
      <c r="P18" s="54"/>
      <c r="Q18" s="51"/>
    </row>
    <row r="19" spans="1:17" ht="15" x14ac:dyDescent="0.25">
      <c r="A19" s="27" t="str">
        <f>A11</f>
        <v>Silver physical</v>
      </c>
      <c r="B19">
        <f>ROUNDUP('Sales forecast'!B18/'Variable costs'!$C13,0)</f>
        <v>15</v>
      </c>
      <c r="C19">
        <f>ROUNDUP('Sales forecast'!C18/'Variable costs'!$C13,0)</f>
        <v>17</v>
      </c>
      <c r="D19">
        <f>ROUNDUP('Sales forecast'!D18/'Variable costs'!$C13,0)</f>
        <v>19</v>
      </c>
      <c r="E19">
        <f>ROUNDUP('Sales forecast'!E18/'Variable costs'!$C13,0)</f>
        <v>21</v>
      </c>
      <c r="F19">
        <f>ROUNDUP('Sales forecast'!F18/'Variable costs'!$C13,0)</f>
        <v>23</v>
      </c>
      <c r="G19">
        <f>ROUNDUP('Sales forecast'!G18/'Variable costs'!$C13,0)</f>
        <v>25</v>
      </c>
      <c r="H19">
        <f>ROUNDUP('Sales forecast'!H18/'Variable costs'!$C13,0)</f>
        <v>28</v>
      </c>
      <c r="I19">
        <f>ROUNDUP('Sales forecast'!I18/'Variable costs'!$C13,0)</f>
        <v>30</v>
      </c>
      <c r="J19">
        <f>ROUNDUP('Sales forecast'!J18/'Variable costs'!$C13,0)</f>
        <v>32</v>
      </c>
      <c r="K19">
        <f>ROUNDUP('Sales forecast'!K18/'Variable costs'!$C13,0)</f>
        <v>34</v>
      </c>
      <c r="L19">
        <f>ROUNDUP('Sales forecast'!L18/'Variable costs'!$C13,0)</f>
        <v>36</v>
      </c>
      <c r="M19">
        <f>ROUNDUP('Sales forecast'!M18/'Variable costs'!$C13,0)</f>
        <v>38</v>
      </c>
      <c r="N19" s="51"/>
      <c r="O19" s="53"/>
      <c r="P19" s="54"/>
      <c r="Q19" s="51"/>
    </row>
    <row r="20" spans="1:17" ht="15" x14ac:dyDescent="0.25">
      <c r="A20" s="27" t="str">
        <f>A12</f>
        <v>Gold physical</v>
      </c>
      <c r="B20">
        <f>ROUNDUP('Sales forecast'!B19/'Variable costs'!$C14,0)</f>
        <v>15</v>
      </c>
      <c r="C20">
        <f>ROUNDUP('Sales forecast'!C19/'Variable costs'!$C14,0)</f>
        <v>17</v>
      </c>
      <c r="D20">
        <f>ROUNDUP('Sales forecast'!D19/'Variable costs'!$C14,0)</f>
        <v>19</v>
      </c>
      <c r="E20">
        <f>ROUNDUP('Sales forecast'!E19/'Variable costs'!$C14,0)</f>
        <v>21</v>
      </c>
      <c r="F20">
        <f>ROUNDUP('Sales forecast'!F19/'Variable costs'!$C14,0)</f>
        <v>23</v>
      </c>
      <c r="G20">
        <f>ROUNDUP('Sales forecast'!G19/'Variable costs'!$C14,0)</f>
        <v>25</v>
      </c>
      <c r="H20">
        <f>ROUNDUP('Sales forecast'!H19/'Variable costs'!$C14,0)</f>
        <v>28</v>
      </c>
      <c r="I20">
        <f>ROUNDUP('Sales forecast'!I19/'Variable costs'!$C14,0)</f>
        <v>30</v>
      </c>
      <c r="J20">
        <f>ROUNDUP('Sales forecast'!J19/'Variable costs'!$C14,0)</f>
        <v>32</v>
      </c>
      <c r="K20">
        <f>ROUNDUP('Sales forecast'!K19/'Variable costs'!$C14,0)</f>
        <v>34</v>
      </c>
      <c r="L20">
        <f>ROUNDUP('Sales forecast'!L19/'Variable costs'!$C14,0)</f>
        <v>36</v>
      </c>
      <c r="M20">
        <f>ROUNDUP('Sales forecast'!M19/'Variable costs'!$C14,0)</f>
        <v>38</v>
      </c>
      <c r="N20" s="51"/>
      <c r="O20" s="53"/>
      <c r="P20" s="54"/>
      <c r="Q20" s="51"/>
    </row>
    <row r="21" spans="1:17" ht="15" x14ac:dyDescent="0.25">
      <c r="A21" s="27" t="str">
        <f>A13</f>
        <v>Routers</v>
      </c>
      <c r="B21">
        <f>ROUNDUP(SUM('Sales forecast'!B$17:B$19)/'Variable costs'!$C$15,0)</f>
        <v>3</v>
      </c>
      <c r="C21">
        <f>ROUNDUP(SUM('Sales forecast'!C$17:C$19)/'Variable costs'!$C$15,0)</f>
        <v>4</v>
      </c>
      <c r="D21">
        <f>ROUNDUP(SUM('Sales forecast'!D$17:D$19)/'Variable costs'!$C$15,0)</f>
        <v>4</v>
      </c>
      <c r="E21">
        <f>ROUNDUP(SUM('Sales forecast'!E$17:E$19)/'Variable costs'!$C$15,0)</f>
        <v>5</v>
      </c>
      <c r="F21">
        <f>ROUNDUP(SUM('Sales forecast'!F$17:F$19)/'Variable costs'!$C$15,0)</f>
        <v>5</v>
      </c>
      <c r="G21">
        <f>ROUNDUP(SUM('Sales forecast'!G$17:G$19)/'Variable costs'!$C$15,0)</f>
        <v>5</v>
      </c>
      <c r="H21">
        <f>ROUNDUP(SUM('Sales forecast'!H$17:H$19)/'Variable costs'!$C$15,0)</f>
        <v>6</v>
      </c>
      <c r="I21">
        <f>ROUNDUP(SUM('Sales forecast'!I$17:I$19)/'Variable costs'!$C$15,0)</f>
        <v>6</v>
      </c>
      <c r="J21">
        <f>ROUNDUP(SUM('Sales forecast'!J$17:J$19)/'Variable costs'!$C$15,0)</f>
        <v>7</v>
      </c>
      <c r="K21">
        <f>ROUNDUP(SUM('Sales forecast'!K$17:K$19)/'Variable costs'!$C$15,0)</f>
        <v>7</v>
      </c>
      <c r="L21">
        <f>ROUNDUP(SUM('Sales forecast'!L$17:L$19)/'Variable costs'!$C$15,0)</f>
        <v>8</v>
      </c>
      <c r="M21">
        <f>ROUNDUP(SUM('Sales forecast'!M$17:M$19)/'Variable costs'!$C$15,0)</f>
        <v>8</v>
      </c>
      <c r="N21" s="51"/>
      <c r="O21" s="53"/>
      <c r="P21" s="54"/>
      <c r="Q21" s="51"/>
    </row>
    <row r="22" spans="1:17" ht="15" x14ac:dyDescent="0.25">
      <c r="A22" s="27" t="str">
        <f>A14</f>
        <v>Switches</v>
      </c>
      <c r="B22">
        <f>ROUNDUP(SUM('Sales forecast'!B$17:B$19)/'Variable costs'!$C$16,0)</f>
        <v>1</v>
      </c>
      <c r="C22">
        <f>ROUNDUP(SUM('Sales forecast'!C$17:C$19)/'Variable costs'!$C$16,0)</f>
        <v>1</v>
      </c>
      <c r="D22">
        <f>ROUNDUP(SUM('Sales forecast'!D$17:D$19)/'Variable costs'!$C$16,0)</f>
        <v>1</v>
      </c>
      <c r="E22">
        <f>ROUNDUP(SUM('Sales forecast'!E$17:E$19)/'Variable costs'!$C$16,0)</f>
        <v>1</v>
      </c>
      <c r="F22">
        <f>ROUNDUP(SUM('Sales forecast'!F$17:F$19)/'Variable costs'!$C$16,0)</f>
        <v>1</v>
      </c>
      <c r="G22">
        <f>ROUNDUP(SUM('Sales forecast'!G$17:G$19)/'Variable costs'!$C$16,0)</f>
        <v>1</v>
      </c>
      <c r="H22">
        <f>ROUNDUP(SUM('Sales forecast'!H$17:H$19)/'Variable costs'!$C$16,0)</f>
        <v>1</v>
      </c>
      <c r="I22">
        <f>ROUNDUP(SUM('Sales forecast'!I$17:I$19)/'Variable costs'!$C$16,0)</f>
        <v>1</v>
      </c>
      <c r="J22">
        <f>ROUNDUP(SUM('Sales forecast'!J$17:J$19)/'Variable costs'!$C$16,0)</f>
        <v>1</v>
      </c>
      <c r="K22">
        <f>ROUNDUP(SUM('Sales forecast'!K$17:K$19)/'Variable costs'!$C$16,0)</f>
        <v>1</v>
      </c>
      <c r="L22">
        <f>ROUNDUP(SUM('Sales forecast'!L$17:L$19)/'Variable costs'!$C$16,0)</f>
        <v>1</v>
      </c>
      <c r="M22">
        <f>ROUNDUP(SUM('Sales forecast'!M$17:M$19)/'Variable costs'!$C$16,0)</f>
        <v>1</v>
      </c>
      <c r="N22" s="51"/>
      <c r="O22" s="51"/>
      <c r="P22" s="51"/>
      <c r="Q22" s="51"/>
    </row>
    <row r="23" spans="1:17" ht="15" x14ac:dyDescent="0.25">
      <c r="N23" s="51"/>
      <c r="O23" s="51"/>
      <c r="P23" s="51"/>
      <c r="Q23" s="51"/>
    </row>
    <row r="24" spans="1:17" ht="49.5" x14ac:dyDescent="0.3">
      <c r="A24" s="24" t="s">
        <v>57</v>
      </c>
      <c r="B24" s="26" t="s">
        <v>40</v>
      </c>
      <c r="C24" s="26" t="s">
        <v>41</v>
      </c>
      <c r="D24" s="26" t="s">
        <v>42</v>
      </c>
      <c r="E24" s="26" t="s">
        <v>43</v>
      </c>
      <c r="F24" s="26" t="s">
        <v>44</v>
      </c>
      <c r="G24" s="26" t="s">
        <v>45</v>
      </c>
      <c r="H24" s="26" t="s">
        <v>46</v>
      </c>
      <c r="I24" s="26" t="s">
        <v>47</v>
      </c>
      <c r="J24" s="26" t="s">
        <v>48</v>
      </c>
      <c r="K24" s="26" t="s">
        <v>49</v>
      </c>
      <c r="L24" s="26" t="s">
        <v>50</v>
      </c>
      <c r="M24" s="26" t="s">
        <v>51</v>
      </c>
      <c r="N24" s="51"/>
      <c r="O24" s="52"/>
      <c r="P24" s="51"/>
      <c r="Q24" s="51"/>
    </row>
    <row r="25" spans="1:17" ht="15" x14ac:dyDescent="0.25">
      <c r="A25" s="27" t="str">
        <f t="shared" ref="A25:A29" si="0">A10</f>
        <v>Bronze physical</v>
      </c>
      <c r="B25">
        <f>ROUNDUP('Sales forecast'!B$24/'Variable costs'!$C$12,0)</f>
        <v>11</v>
      </c>
      <c r="C25">
        <f>ROUNDUP('Sales forecast'!C$24/'Variable costs'!$C$12,0)</f>
        <v>12</v>
      </c>
      <c r="D25">
        <f>ROUNDUP('Sales forecast'!D$24/'Variable costs'!$C$12,0)</f>
        <v>13</v>
      </c>
      <c r="E25">
        <f>ROUNDUP('Sales forecast'!E$24/'Variable costs'!$C$12,0)</f>
        <v>14</v>
      </c>
      <c r="F25">
        <f>ROUNDUP('Sales forecast'!F$24/'Variable costs'!$C$12,0)</f>
        <v>15</v>
      </c>
      <c r="G25">
        <f>ROUNDUP('Sales forecast'!G$24/'Variable costs'!$C$12,0)</f>
        <v>16</v>
      </c>
      <c r="H25">
        <f>ROUNDUP('Sales forecast'!H$24/'Variable costs'!$C$12,0)</f>
        <v>17</v>
      </c>
      <c r="I25">
        <f>ROUNDUP('Sales forecast'!I$24/'Variable costs'!$C$12,0)</f>
        <v>18</v>
      </c>
      <c r="J25">
        <f>ROUNDUP('Sales forecast'!J$24/'Variable costs'!$C$12,0)</f>
        <v>19</v>
      </c>
      <c r="K25">
        <f>ROUNDUP('Sales forecast'!K$24/'Variable costs'!$C$12,0)</f>
        <v>20</v>
      </c>
      <c r="L25">
        <f>ROUNDUP('Sales forecast'!L$24/'Variable costs'!$C$12,0)</f>
        <v>21</v>
      </c>
      <c r="M25">
        <f>ROUNDUP('Sales forecast'!M$24/'Variable costs'!$C$12,0)</f>
        <v>22</v>
      </c>
    </row>
    <row r="26" spans="1:17" ht="15" x14ac:dyDescent="0.25">
      <c r="A26" s="27" t="str">
        <f t="shared" si="0"/>
        <v>Silver physical</v>
      </c>
      <c r="B26">
        <f>ROUNDUP('Sales forecast'!B$25/'Variable costs'!$C$13,0)</f>
        <v>42</v>
      </c>
      <c r="C26">
        <f>ROUNDUP('Sales forecast'!C$25/'Variable costs'!$C$13,0)</f>
        <v>46</v>
      </c>
      <c r="D26">
        <f>ROUNDUP('Sales forecast'!D$25/'Variable costs'!$C$13,0)</f>
        <v>50</v>
      </c>
      <c r="E26">
        <f>ROUNDUP('Sales forecast'!E$25/'Variable costs'!$C$13,0)</f>
        <v>55</v>
      </c>
      <c r="F26">
        <f>ROUNDUP('Sales forecast'!F$25/'Variable costs'!$C$13,0)</f>
        <v>59</v>
      </c>
      <c r="G26">
        <f>ROUNDUP('Sales forecast'!G$25/'Variable costs'!$C$13,0)</f>
        <v>63</v>
      </c>
      <c r="H26">
        <f>ROUNDUP('Sales forecast'!H$25/'Variable costs'!$C$13,0)</f>
        <v>67</v>
      </c>
      <c r="I26">
        <f>ROUNDUP('Sales forecast'!I$25/'Variable costs'!$C$13,0)</f>
        <v>71</v>
      </c>
      <c r="J26">
        <f>ROUNDUP('Sales forecast'!J$25/'Variable costs'!$C$13,0)</f>
        <v>75</v>
      </c>
      <c r="K26">
        <f>ROUNDUP('Sales forecast'!K$25/'Variable costs'!$C$13,0)</f>
        <v>80</v>
      </c>
      <c r="L26">
        <f>ROUNDUP('Sales forecast'!L$25/'Variable costs'!$C$13,0)</f>
        <v>84</v>
      </c>
      <c r="M26">
        <f>ROUNDUP('Sales forecast'!M$25/'Variable costs'!$C$13,0)</f>
        <v>88</v>
      </c>
    </row>
    <row r="27" spans="1:17" ht="15" x14ac:dyDescent="0.25">
      <c r="A27" s="27" t="str">
        <f t="shared" si="0"/>
        <v>Gold physical</v>
      </c>
      <c r="B27">
        <f>ROUNDUP('Sales forecast'!B$26/'Variable costs'!$C$14,0)</f>
        <v>42</v>
      </c>
      <c r="C27">
        <f>ROUNDUP('Sales forecast'!C$26/'Variable costs'!$C$14,0)</f>
        <v>46</v>
      </c>
      <c r="D27">
        <f>ROUNDUP('Sales forecast'!D$26/'Variable costs'!$C$14,0)</f>
        <v>50</v>
      </c>
      <c r="E27">
        <f>ROUNDUP('Sales forecast'!E$26/'Variable costs'!$C$14,0)</f>
        <v>55</v>
      </c>
      <c r="F27">
        <f>ROUNDUP('Sales forecast'!F$26/'Variable costs'!$C$14,0)</f>
        <v>59</v>
      </c>
      <c r="G27">
        <f>ROUNDUP('Sales forecast'!G$26/'Variable costs'!$C$14,0)</f>
        <v>63</v>
      </c>
      <c r="H27">
        <f>ROUNDUP('Sales forecast'!H$26/'Variable costs'!$C$14,0)</f>
        <v>67</v>
      </c>
      <c r="I27">
        <f>ROUNDUP('Sales forecast'!I$26/'Variable costs'!$C$14,0)</f>
        <v>71</v>
      </c>
      <c r="J27">
        <f>ROUNDUP('Sales forecast'!J$26/'Variable costs'!$C$14,0)</f>
        <v>75</v>
      </c>
      <c r="K27">
        <f>ROUNDUP('Sales forecast'!K$26/'Variable costs'!$C$14,0)</f>
        <v>80</v>
      </c>
      <c r="L27">
        <f>ROUNDUP('Sales forecast'!L$26/'Variable costs'!$C$14,0)</f>
        <v>84</v>
      </c>
      <c r="M27">
        <f>ROUNDUP('Sales forecast'!M$26/'Variable costs'!$C$14,0)</f>
        <v>88</v>
      </c>
    </row>
    <row r="28" spans="1:17" ht="15" x14ac:dyDescent="0.25">
      <c r="A28" s="27" t="str">
        <f t="shared" si="0"/>
        <v>Routers</v>
      </c>
      <c r="B28">
        <f>ROUNDUP(SUM('Sales forecast'!B$24:B$26)/'Variable costs'!$C$15,0)</f>
        <v>9</v>
      </c>
      <c r="C28">
        <f>ROUNDUP(SUM('Sales forecast'!C$24:C$26)/'Variable costs'!$C$15,0)</f>
        <v>10</v>
      </c>
      <c r="D28">
        <f>ROUNDUP(SUM('Sales forecast'!D$24:D$26)/'Variable costs'!$C$15,0)</f>
        <v>10</v>
      </c>
      <c r="E28">
        <f>ROUNDUP(SUM('Sales forecast'!E$24:E$26)/'Variable costs'!$C$15,0)</f>
        <v>11</v>
      </c>
      <c r="F28">
        <f>ROUNDUP(SUM('Sales forecast'!F$24:F$26)/'Variable costs'!$C$15,0)</f>
        <v>12</v>
      </c>
      <c r="G28">
        <f>ROUNDUP(SUM('Sales forecast'!G$24:G$26)/'Variable costs'!$C$15,0)</f>
        <v>13</v>
      </c>
      <c r="H28">
        <f>ROUNDUP(SUM('Sales forecast'!H$24:H$26)/'Variable costs'!$C$15,0)</f>
        <v>14</v>
      </c>
      <c r="I28">
        <f>ROUNDUP(SUM('Sales forecast'!I$24:I$26)/'Variable costs'!$C$15,0)</f>
        <v>15</v>
      </c>
      <c r="J28">
        <f>ROUNDUP(SUM('Sales forecast'!J$24:J$26)/'Variable costs'!$C$15,0)</f>
        <v>15</v>
      </c>
      <c r="K28">
        <f>ROUNDUP(SUM('Sales forecast'!K$24:K$26)/'Variable costs'!$C$15,0)</f>
        <v>16</v>
      </c>
      <c r="L28">
        <f>ROUNDUP(SUM('Sales forecast'!L$24:L$26)/'Variable costs'!$C$15,0)</f>
        <v>17</v>
      </c>
      <c r="M28">
        <f>ROUNDUP(SUM('Sales forecast'!M$24:M$26)/'Variable costs'!$C$15,0)</f>
        <v>18</v>
      </c>
    </row>
    <row r="29" spans="1:17" ht="15" x14ac:dyDescent="0.25">
      <c r="A29" s="27" t="str">
        <f t="shared" si="0"/>
        <v>Switches</v>
      </c>
      <c r="B29">
        <f>ROUNDUP(SUM('Sales forecast'!B$24:B$26)/'Variable costs'!$C$16,0)</f>
        <v>1</v>
      </c>
      <c r="C29">
        <f>ROUNDUP(SUM('Sales forecast'!C$24:C$26)/'Variable costs'!$C$16,0)</f>
        <v>1</v>
      </c>
      <c r="D29">
        <f>ROUNDUP(SUM('Sales forecast'!D$24:D$26)/'Variable costs'!$C$16,0)</f>
        <v>1</v>
      </c>
      <c r="E29">
        <f>ROUNDUP(SUM('Sales forecast'!E$24:E$26)/'Variable costs'!$C$16,0)</f>
        <v>1</v>
      </c>
      <c r="F29">
        <f>ROUNDUP(SUM('Sales forecast'!F$24:F$26)/'Variable costs'!$C$16,0)</f>
        <v>1</v>
      </c>
      <c r="G29">
        <f>ROUNDUP(SUM('Sales forecast'!G$24:G$26)/'Variable costs'!$C$16,0)</f>
        <v>1</v>
      </c>
      <c r="H29">
        <f>ROUNDUP(SUM('Sales forecast'!H$24:H$26)/'Variable costs'!$C$16,0)</f>
        <v>1</v>
      </c>
      <c r="I29">
        <f>ROUNDUP(SUM('Sales forecast'!I$24:I$26)/'Variable costs'!$C$16,0)</f>
        <v>1</v>
      </c>
      <c r="J29">
        <f>ROUNDUP(SUM('Sales forecast'!J$24:J$26)/'Variable costs'!$C$16,0)</f>
        <v>1</v>
      </c>
      <c r="K29">
        <f>ROUNDUP(SUM('Sales forecast'!K$24:K$26)/'Variable costs'!$C$16,0)</f>
        <v>1</v>
      </c>
      <c r="L29">
        <f>ROUNDUP(SUM('Sales forecast'!L$24:L$26)/'Variable costs'!$C$16,0)</f>
        <v>1</v>
      </c>
      <c r="M29">
        <f>ROUNDUP(SUM('Sales forecast'!M$24:M$26)/'Variable costs'!$C$16,0)</f>
        <v>1</v>
      </c>
    </row>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M34"/>
  <sheetViews>
    <sheetView topLeftCell="A3" workbookViewId="0">
      <selection activeCell="C13" sqref="C13"/>
    </sheetView>
  </sheetViews>
  <sheetFormatPr defaultRowHeight="14.4" x14ac:dyDescent="0.3"/>
  <cols>
    <col min="1" max="1" width="13.109375" customWidth="1"/>
    <col min="2" max="13" width="11.44140625" bestFit="1" customWidth="1"/>
  </cols>
  <sheetData>
    <row r="1" spans="1:13" ht="21" x14ac:dyDescent="0.4">
      <c r="A1" s="2" t="s">
        <v>86</v>
      </c>
    </row>
    <row r="8" spans="1:13" ht="18" x14ac:dyDescent="0.35">
      <c r="A8" s="1"/>
    </row>
    <row r="9" spans="1:13" ht="46.8" x14ac:dyDescent="0.35">
      <c r="A9" s="83" t="s">
        <v>55</v>
      </c>
      <c r="B9" s="84" t="s">
        <v>40</v>
      </c>
      <c r="C9" s="84" t="s">
        <v>41</v>
      </c>
      <c r="D9" s="84" t="s">
        <v>42</v>
      </c>
      <c r="E9" s="84" t="s">
        <v>43</v>
      </c>
      <c r="F9" s="84" t="s">
        <v>44</v>
      </c>
      <c r="G9" s="84" t="s">
        <v>45</v>
      </c>
      <c r="H9" s="84" t="s">
        <v>46</v>
      </c>
      <c r="I9" s="84" t="s">
        <v>47</v>
      </c>
      <c r="J9" s="84" t="s">
        <v>48</v>
      </c>
      <c r="K9" s="84" t="s">
        <v>49</v>
      </c>
      <c r="L9" s="84" t="s">
        <v>50</v>
      </c>
      <c r="M9" s="84" t="s">
        <v>51</v>
      </c>
    </row>
    <row r="10" spans="1:13" x14ac:dyDescent="0.3">
      <c r="A10" s="87" t="s">
        <v>52</v>
      </c>
      <c r="B10" s="88">
        <f>('Hardware demands'!B10)*'Variable costs'!$E12</f>
        <v>1750</v>
      </c>
      <c r="C10" s="88">
        <f>('Hardware demands'!C10-'Hardware demands'!B10)*'Variable costs'!$E12</f>
        <v>0</v>
      </c>
      <c r="D10" s="88">
        <f>('Hardware demands'!D10-'Hardware demands'!C10)*'Variable costs'!$E12</f>
        <v>0</v>
      </c>
      <c r="E10" s="88">
        <f>('Hardware demands'!E10-'Hardware demands'!D10)*'Variable costs'!$E12</f>
        <v>1750</v>
      </c>
      <c r="F10" s="88">
        <f>('Hardware demands'!F10-'Hardware demands'!E10)*'Variable costs'!$E12</f>
        <v>0</v>
      </c>
      <c r="G10" s="88">
        <f>('Hardware demands'!G10-'Hardware demands'!F10)*'Variable costs'!$E12</f>
        <v>0</v>
      </c>
      <c r="H10" s="88">
        <f>('Hardware demands'!H10-'Hardware demands'!G10)*'Variable costs'!$E12</f>
        <v>0</v>
      </c>
      <c r="I10" s="88">
        <f>('Hardware demands'!I10-'Hardware demands'!H10)*'Variable costs'!$E12</f>
        <v>1750</v>
      </c>
      <c r="J10" s="88">
        <f>('Hardware demands'!J10-'Hardware demands'!I10)*'Variable costs'!$E12</f>
        <v>0</v>
      </c>
      <c r="K10" s="88">
        <f>('Hardware demands'!K10-'Hardware demands'!J10)*'Variable costs'!$E12</f>
        <v>0</v>
      </c>
      <c r="L10" s="88">
        <f>('Hardware demands'!L10-'Hardware demands'!K10)*'Variable costs'!$E12</f>
        <v>0</v>
      </c>
      <c r="M10" s="88">
        <f>('Hardware demands'!M10-'Hardware demands'!L10)*'Variable costs'!$E12</f>
        <v>1750</v>
      </c>
    </row>
    <row r="11" spans="1:13" x14ac:dyDescent="0.3">
      <c r="A11" s="87" t="s">
        <v>53</v>
      </c>
      <c r="B11" s="88">
        <f>('Hardware demands'!B11)*'Variable costs'!$E13</f>
        <v>3500</v>
      </c>
      <c r="C11" s="88">
        <f>('Hardware demands'!C11-'Hardware demands'!B11)*'Variable costs'!$E13</f>
        <v>1750</v>
      </c>
      <c r="D11" s="88">
        <f>('Hardware demands'!D11-'Hardware demands'!C11)*'Variable costs'!$E13</f>
        <v>1750</v>
      </c>
      <c r="E11" s="88">
        <f>('Hardware demands'!E11-'Hardware demands'!D11)*'Variable costs'!$E13</f>
        <v>1750</v>
      </c>
      <c r="F11" s="88">
        <f>('Hardware demands'!F11-'Hardware demands'!E11)*'Variable costs'!$E13</f>
        <v>1750</v>
      </c>
      <c r="G11" s="88">
        <f>('Hardware demands'!G11-'Hardware demands'!F11)*'Variable costs'!$E13</f>
        <v>1750</v>
      </c>
      <c r="H11" s="88">
        <f>('Hardware demands'!H11-'Hardware demands'!G11)*'Variable costs'!$E13</f>
        <v>1750</v>
      </c>
      <c r="I11" s="88">
        <f>('Hardware demands'!I11-'Hardware demands'!H11)*'Variable costs'!$E13</f>
        <v>1750</v>
      </c>
      <c r="J11" s="88">
        <f>('Hardware demands'!J11-'Hardware demands'!I11)*'Variable costs'!$E13</f>
        <v>1750</v>
      </c>
      <c r="K11" s="88">
        <f>('Hardware demands'!K11-'Hardware demands'!J11)*'Variable costs'!$E13</f>
        <v>1750</v>
      </c>
      <c r="L11" s="88">
        <f>('Hardware demands'!L11-'Hardware demands'!K11)*'Variable costs'!$E13</f>
        <v>1750</v>
      </c>
      <c r="M11" s="88">
        <f>('Hardware demands'!M11-'Hardware demands'!L11)*'Variable costs'!$E13</f>
        <v>1750</v>
      </c>
    </row>
    <row r="12" spans="1:13" x14ac:dyDescent="0.3">
      <c r="A12" s="87" t="s">
        <v>54</v>
      </c>
      <c r="B12" s="88">
        <f>('Hardware demands'!B12)*'Variable costs'!$E14</f>
        <v>3500</v>
      </c>
      <c r="C12" s="88">
        <f>('Hardware demands'!C12-'Hardware demands'!B12)*'Variable costs'!$E14</f>
        <v>1750</v>
      </c>
      <c r="D12" s="88">
        <f>('Hardware demands'!D12-'Hardware demands'!C12)*'Variable costs'!$E14</f>
        <v>1750</v>
      </c>
      <c r="E12" s="88">
        <f>('Hardware demands'!E12-'Hardware demands'!D12)*'Variable costs'!$E14</f>
        <v>1750</v>
      </c>
      <c r="F12" s="88">
        <f>('Hardware demands'!F12-'Hardware demands'!E12)*'Variable costs'!$E14</f>
        <v>1750</v>
      </c>
      <c r="G12" s="88">
        <f>('Hardware demands'!G12-'Hardware demands'!F12)*'Variable costs'!$E14</f>
        <v>1750</v>
      </c>
      <c r="H12" s="88">
        <f>('Hardware demands'!H12-'Hardware demands'!G12)*'Variable costs'!$E14</f>
        <v>1750</v>
      </c>
      <c r="I12" s="88">
        <f>('Hardware demands'!I12-'Hardware demands'!H12)*'Variable costs'!$E14</f>
        <v>1750</v>
      </c>
      <c r="J12" s="88">
        <f>('Hardware demands'!J12-'Hardware demands'!I12)*'Variable costs'!$E14</f>
        <v>1750</v>
      </c>
      <c r="K12" s="88">
        <f>('Hardware demands'!K12-'Hardware demands'!J12)*'Variable costs'!$E14</f>
        <v>1750</v>
      </c>
      <c r="L12" s="88">
        <f>('Hardware demands'!L12-'Hardware demands'!K12)*'Variable costs'!$E14</f>
        <v>1750</v>
      </c>
      <c r="M12" s="88">
        <f>('Hardware demands'!M12-'Hardware demands'!L12)*'Variable costs'!$E14</f>
        <v>1750</v>
      </c>
    </row>
    <row r="13" spans="1:13" x14ac:dyDescent="0.3">
      <c r="A13" s="87" t="s">
        <v>76</v>
      </c>
      <c r="B13" s="88">
        <f>('Hardware demands'!B13)*'Variable costs'!$E15</f>
        <v>3000</v>
      </c>
      <c r="C13" s="88">
        <f>('Hardware demands'!C13-'Hardware demands'!B13)*'Variable costs'!$E15</f>
        <v>-1500</v>
      </c>
      <c r="D13" s="88">
        <f>('Hardware demands'!D13-'Hardware demands'!C13)*'Variable costs'!$E15</f>
        <v>0</v>
      </c>
      <c r="E13" s="88">
        <f>('Hardware demands'!E13-'Hardware demands'!D13)*'Variable costs'!$E15</f>
        <v>0</v>
      </c>
      <c r="F13" s="88">
        <f>('Hardware demands'!F13-'Hardware demands'!E13)*'Variable costs'!$E15</f>
        <v>1500</v>
      </c>
      <c r="G13" s="88">
        <f>('Hardware demands'!G13-'Hardware demands'!F13)*'Variable costs'!$E15</f>
        <v>0</v>
      </c>
      <c r="H13" s="88">
        <f>('Hardware demands'!H13-'Hardware demands'!G13)*'Variable costs'!$E15</f>
        <v>0</v>
      </c>
      <c r="I13" s="88">
        <f>('Hardware demands'!I13-'Hardware demands'!H13)*'Variable costs'!$E15</f>
        <v>0</v>
      </c>
      <c r="J13" s="88">
        <f>('Hardware demands'!J13-'Hardware demands'!I13)*'Variable costs'!$E15</f>
        <v>0</v>
      </c>
      <c r="K13" s="88">
        <f>('Hardware demands'!K13-'Hardware demands'!J13)*'Variable costs'!$E15</f>
        <v>1500</v>
      </c>
      <c r="L13" s="88">
        <f>('Hardware demands'!L13-'Hardware demands'!K13)*'Variable costs'!$E15</f>
        <v>0</v>
      </c>
      <c r="M13" s="88">
        <f>('Hardware demands'!M13-'Hardware demands'!L13)*'Variable costs'!$E15</f>
        <v>0</v>
      </c>
    </row>
    <row r="14" spans="1:13" x14ac:dyDescent="0.3">
      <c r="A14" s="87" t="s">
        <v>77</v>
      </c>
      <c r="B14" s="88">
        <f>('Hardware demands'!B14)*'Variable costs'!$E16</f>
        <v>1000</v>
      </c>
      <c r="C14" s="88">
        <f>('Hardware demands'!C14-'Hardware demands'!B14)*'Variable costs'!$E16</f>
        <v>0</v>
      </c>
      <c r="D14" s="88">
        <f>('Hardware demands'!D14-'Hardware demands'!C14)*'Variable costs'!$E16</f>
        <v>0</v>
      </c>
      <c r="E14" s="88">
        <f>('Hardware demands'!E14-'Hardware demands'!D14)*'Variable costs'!$E16</f>
        <v>0</v>
      </c>
      <c r="F14" s="88">
        <f>('Hardware demands'!F14-'Hardware demands'!E14)*'Variable costs'!$E16</f>
        <v>0</v>
      </c>
      <c r="G14" s="88">
        <f>('Hardware demands'!G14-'Hardware demands'!F14)*'Variable costs'!$E16</f>
        <v>0</v>
      </c>
      <c r="H14" s="88">
        <f>('Hardware demands'!H14-'Hardware demands'!G14)*'Variable costs'!$E16</f>
        <v>0</v>
      </c>
      <c r="I14" s="88">
        <f>('Hardware demands'!I14-'Hardware demands'!H14)*'Variable costs'!$E16</f>
        <v>0</v>
      </c>
      <c r="J14" s="88">
        <f>('Hardware demands'!J14-'Hardware demands'!I14)*'Variable costs'!$E16</f>
        <v>0</v>
      </c>
      <c r="K14" s="88">
        <f>('Hardware demands'!K14-'Hardware demands'!J14)*'Variable costs'!$E16</f>
        <v>0</v>
      </c>
      <c r="L14" s="88">
        <f>('Hardware demands'!L14-'Hardware demands'!K14)*'Variable costs'!$E16</f>
        <v>0</v>
      </c>
      <c r="M14" s="88">
        <f>('Hardware demands'!M14-'Hardware demands'!L14)*'Variable costs'!$E16</f>
        <v>0</v>
      </c>
    </row>
    <row r="15" spans="1:13" x14ac:dyDescent="0.3">
      <c r="A15" s="87" t="s">
        <v>0</v>
      </c>
      <c r="B15" s="88">
        <f>'Constant costs'!D10</f>
        <v>2000</v>
      </c>
      <c r="C15" s="88">
        <f>0</f>
        <v>0</v>
      </c>
      <c r="D15" s="88">
        <f>0</f>
        <v>0</v>
      </c>
      <c r="E15" s="88">
        <f>0</f>
        <v>0</v>
      </c>
      <c r="F15" s="88">
        <f>0</f>
        <v>0</v>
      </c>
      <c r="G15" s="88">
        <f>0</f>
        <v>0</v>
      </c>
      <c r="H15" s="88">
        <f>0</f>
        <v>0</v>
      </c>
      <c r="I15" s="88">
        <f>0</f>
        <v>0</v>
      </c>
      <c r="J15" s="88">
        <f>0</f>
        <v>0</v>
      </c>
      <c r="K15" s="88">
        <f>0</f>
        <v>0</v>
      </c>
      <c r="L15" s="88">
        <f>0</f>
        <v>0</v>
      </c>
      <c r="M15" s="88">
        <f>0</f>
        <v>0</v>
      </c>
    </row>
    <row r="16" spans="1:13" x14ac:dyDescent="0.3">
      <c r="A16" s="85" t="s">
        <v>9</v>
      </c>
      <c r="B16" s="86">
        <f>SUM(B10:B15)</f>
        <v>14750</v>
      </c>
      <c r="C16" s="86">
        <f t="shared" ref="C16:M16" si="0">SUM(C10:C15)</f>
        <v>2000</v>
      </c>
      <c r="D16" s="86">
        <f t="shared" si="0"/>
        <v>3500</v>
      </c>
      <c r="E16" s="86">
        <f t="shared" si="0"/>
        <v>5250</v>
      </c>
      <c r="F16" s="86">
        <f t="shared" si="0"/>
        <v>5000</v>
      </c>
      <c r="G16" s="86">
        <f t="shared" si="0"/>
        <v>3500</v>
      </c>
      <c r="H16" s="86">
        <f t="shared" si="0"/>
        <v>3500</v>
      </c>
      <c r="I16" s="86">
        <f t="shared" si="0"/>
        <v>5250</v>
      </c>
      <c r="J16" s="86">
        <f t="shared" si="0"/>
        <v>3500</v>
      </c>
      <c r="K16" s="86">
        <f t="shared" si="0"/>
        <v>5000</v>
      </c>
      <c r="L16" s="86">
        <f t="shared" si="0"/>
        <v>3500</v>
      </c>
      <c r="M16" s="86">
        <f t="shared" si="0"/>
        <v>5250</v>
      </c>
    </row>
    <row r="18" spans="1:13" ht="46.8" x14ac:dyDescent="0.35">
      <c r="A18" s="83" t="s">
        <v>56</v>
      </c>
      <c r="B18" s="84" t="s">
        <v>40</v>
      </c>
      <c r="C18" s="84" t="s">
        <v>41</v>
      </c>
      <c r="D18" s="84" t="s">
        <v>42</v>
      </c>
      <c r="E18" s="84" t="s">
        <v>43</v>
      </c>
      <c r="F18" s="84" t="s">
        <v>44</v>
      </c>
      <c r="G18" s="84" t="s">
        <v>45</v>
      </c>
      <c r="H18" s="84" t="s">
        <v>46</v>
      </c>
      <c r="I18" s="84" t="s">
        <v>47</v>
      </c>
      <c r="J18" s="84" t="s">
        <v>48</v>
      </c>
      <c r="K18" s="84" t="s">
        <v>49</v>
      </c>
      <c r="L18" s="84" t="s">
        <v>50</v>
      </c>
      <c r="M18" s="84" t="s">
        <v>51</v>
      </c>
    </row>
    <row r="19" spans="1:13" x14ac:dyDescent="0.3">
      <c r="A19" s="87" t="s">
        <v>52</v>
      </c>
      <c r="B19" s="88">
        <f>('Hardware demands'!B18-'Hardware demands'!M10)*'Variable costs'!$E12</f>
        <v>0</v>
      </c>
      <c r="C19" s="88">
        <f>('Hardware demands'!C18-'Hardware demands'!B18)*'Variable costs'!$E12</f>
        <v>1750</v>
      </c>
      <c r="D19" s="88">
        <f>('Hardware demands'!D18-'Hardware demands'!C18)*'Variable costs'!$E12</f>
        <v>0</v>
      </c>
      <c r="E19" s="88">
        <f>('Hardware demands'!E18-'Hardware demands'!D18)*'Variable costs'!$E12</f>
        <v>1750</v>
      </c>
      <c r="F19" s="88">
        <f>('Hardware demands'!F18-'Hardware demands'!E18)*'Variable costs'!$E12</f>
        <v>0</v>
      </c>
      <c r="G19" s="88">
        <f>('Hardware demands'!G18-'Hardware demands'!F18)*'Variable costs'!$E12</f>
        <v>1750</v>
      </c>
      <c r="H19" s="88">
        <f>('Hardware demands'!H18-'Hardware demands'!G18)*'Variable costs'!$E12</f>
        <v>0</v>
      </c>
      <c r="I19" s="88">
        <f>('Hardware demands'!I18-'Hardware demands'!H18)*'Variable costs'!$E12</f>
        <v>1750</v>
      </c>
      <c r="J19" s="88">
        <f>('Hardware demands'!J18-'Hardware demands'!I18)*'Variable costs'!$E12</f>
        <v>0</v>
      </c>
      <c r="K19" s="88">
        <f>('Hardware demands'!K18-'Hardware demands'!J18)*'Variable costs'!$E12</f>
        <v>1750</v>
      </c>
      <c r="L19" s="88">
        <f>('Hardware demands'!L18-'Hardware demands'!K18)*'Variable costs'!$E12</f>
        <v>0</v>
      </c>
      <c r="M19" s="88">
        <f>('Hardware demands'!M18-'Hardware demands'!L18)*'Variable costs'!$E12</f>
        <v>1750</v>
      </c>
    </row>
    <row r="20" spans="1:13" x14ac:dyDescent="0.3">
      <c r="A20" s="87" t="s">
        <v>53</v>
      </c>
      <c r="B20" s="88">
        <f>('Hardware demands'!B19-'Hardware demands'!M11)*'Variable costs'!$E13</f>
        <v>3500</v>
      </c>
      <c r="C20" s="88">
        <f>('Hardware demands'!C19-'Hardware demands'!B19)*'Variable costs'!$E13</f>
        <v>3500</v>
      </c>
      <c r="D20" s="88">
        <f>('Hardware demands'!D19-'Hardware demands'!C19)*'Variable costs'!$E13</f>
        <v>3500</v>
      </c>
      <c r="E20" s="88">
        <f>('Hardware demands'!E19-'Hardware demands'!D19)*'Variable costs'!$E13</f>
        <v>3500</v>
      </c>
      <c r="F20" s="88">
        <f>('Hardware demands'!F19-'Hardware demands'!E19)*'Variable costs'!$E13</f>
        <v>3500</v>
      </c>
      <c r="G20" s="88">
        <f>('Hardware demands'!G19-'Hardware demands'!F19)*'Variable costs'!$E13</f>
        <v>3500</v>
      </c>
      <c r="H20" s="88">
        <f>('Hardware demands'!H19-'Hardware demands'!G19)*'Variable costs'!$E13</f>
        <v>5250</v>
      </c>
      <c r="I20" s="88">
        <f>('Hardware demands'!I19-'Hardware demands'!H19)*'Variable costs'!$E13</f>
        <v>3500</v>
      </c>
      <c r="J20" s="88">
        <f>('Hardware demands'!J19-'Hardware demands'!I19)*'Variable costs'!$E13</f>
        <v>3500</v>
      </c>
      <c r="K20" s="88">
        <f>('Hardware demands'!K19-'Hardware demands'!J19)*'Variable costs'!$E13</f>
        <v>3500</v>
      </c>
      <c r="L20" s="88">
        <f>('Hardware demands'!L19-'Hardware demands'!K19)*'Variable costs'!$E13</f>
        <v>3500</v>
      </c>
      <c r="M20" s="88">
        <f>('Hardware demands'!M19-'Hardware demands'!L19)*'Variable costs'!$E13</f>
        <v>3500</v>
      </c>
    </row>
    <row r="21" spans="1:13" x14ac:dyDescent="0.3">
      <c r="A21" s="87" t="s">
        <v>54</v>
      </c>
      <c r="B21" s="88">
        <f>('Hardware demands'!B20-'Hardware demands'!M12)*'Variable costs'!$E14</f>
        <v>3500</v>
      </c>
      <c r="C21" s="88">
        <f>('Hardware demands'!C20-'Hardware demands'!B20)*'Variable costs'!$E14</f>
        <v>3500</v>
      </c>
      <c r="D21" s="88">
        <f>('Hardware demands'!D20-'Hardware demands'!C20)*'Variable costs'!$E14</f>
        <v>3500</v>
      </c>
      <c r="E21" s="88">
        <f>('Hardware demands'!E20-'Hardware demands'!D20)*'Variable costs'!$E14</f>
        <v>3500</v>
      </c>
      <c r="F21" s="88">
        <f>('Hardware demands'!F20-'Hardware demands'!E20)*'Variable costs'!$E14</f>
        <v>3500</v>
      </c>
      <c r="G21" s="88">
        <f>('Hardware demands'!G20-'Hardware demands'!F20)*'Variable costs'!$E14</f>
        <v>3500</v>
      </c>
      <c r="H21" s="88">
        <f>('Hardware demands'!H20-'Hardware demands'!G20)*'Variable costs'!$E14</f>
        <v>5250</v>
      </c>
      <c r="I21" s="88">
        <f>('Hardware demands'!I20-'Hardware demands'!H20)*'Variable costs'!$E14</f>
        <v>3500</v>
      </c>
      <c r="J21" s="88">
        <f>('Hardware demands'!J20-'Hardware demands'!I20)*'Variable costs'!$E14</f>
        <v>3500</v>
      </c>
      <c r="K21" s="88">
        <f>('Hardware demands'!K20-'Hardware demands'!J20)*'Variable costs'!$E14</f>
        <v>3500</v>
      </c>
      <c r="L21" s="88">
        <f>('Hardware demands'!L20-'Hardware demands'!K20)*'Variable costs'!$E14</f>
        <v>3500</v>
      </c>
      <c r="M21" s="88">
        <f>('Hardware demands'!M20-'Hardware demands'!L20)*'Variable costs'!$E14</f>
        <v>3500</v>
      </c>
    </row>
    <row r="22" spans="1:13" x14ac:dyDescent="0.3">
      <c r="A22" s="87" t="str">
        <f>A13</f>
        <v>Routers</v>
      </c>
      <c r="B22" s="88">
        <f>('Hardware demands'!B21-'Hardware demands'!M13)*'Variable costs'!$E15</f>
        <v>0</v>
      </c>
      <c r="C22" s="88">
        <f>('Hardware demands'!C21-'Hardware demands'!B21)*'Variable costs'!$E15</f>
        <v>1500</v>
      </c>
      <c r="D22" s="88">
        <f>('Hardware demands'!D21-'Hardware demands'!C21)*'Variable costs'!$E15</f>
        <v>0</v>
      </c>
      <c r="E22" s="88">
        <f>('Hardware demands'!E21-'Hardware demands'!D21)*'Variable costs'!$E15</f>
        <v>1500</v>
      </c>
      <c r="F22" s="88">
        <f>('Hardware demands'!F21-'Hardware demands'!E21)*'Variable costs'!$E15</f>
        <v>0</v>
      </c>
      <c r="G22" s="88">
        <f>('Hardware demands'!G21-'Hardware demands'!F21)*'Variable costs'!$E15</f>
        <v>0</v>
      </c>
      <c r="H22" s="88">
        <f>('Hardware demands'!H21-'Hardware demands'!G21)*'Variable costs'!$E15</f>
        <v>1500</v>
      </c>
      <c r="I22" s="88">
        <f>('Hardware demands'!I21-'Hardware demands'!H21)*'Variable costs'!$E15</f>
        <v>0</v>
      </c>
      <c r="J22" s="88">
        <f>('Hardware demands'!J21-'Hardware demands'!I21)*'Variable costs'!$E15</f>
        <v>1500</v>
      </c>
      <c r="K22" s="88">
        <f>('Hardware demands'!K21-'Hardware demands'!J21)*'Variable costs'!$E15</f>
        <v>0</v>
      </c>
      <c r="L22" s="88">
        <f>('Hardware demands'!L21-'Hardware demands'!K21)*'Variable costs'!$E15</f>
        <v>1500</v>
      </c>
      <c r="M22" s="88">
        <f>('Hardware demands'!M21-'Hardware demands'!L21)*'Variable costs'!$E15</f>
        <v>0</v>
      </c>
    </row>
    <row r="23" spans="1:13" x14ac:dyDescent="0.3">
      <c r="A23" s="87" t="str">
        <f>A14</f>
        <v>Switches</v>
      </c>
      <c r="B23" s="88">
        <f>('Hardware demands'!B22-'Hardware demands'!M14)*'Variable costs'!$E16</f>
        <v>0</v>
      </c>
      <c r="C23" s="88">
        <f>('Hardware demands'!C22-'Hardware demands'!B22)*'Variable costs'!$E16</f>
        <v>0</v>
      </c>
      <c r="D23" s="88">
        <f>('Hardware demands'!D22-'Hardware demands'!C22)*'Variable costs'!$E16</f>
        <v>0</v>
      </c>
      <c r="E23" s="88">
        <f>('Hardware demands'!E22-'Hardware demands'!D22)*'Variable costs'!$E16</f>
        <v>0</v>
      </c>
      <c r="F23" s="88">
        <f>('Hardware demands'!F22-'Hardware demands'!E22)*'Variable costs'!$E16</f>
        <v>0</v>
      </c>
      <c r="G23" s="88">
        <f>('Hardware demands'!G22-'Hardware demands'!F22)*'Variable costs'!$E16</f>
        <v>0</v>
      </c>
      <c r="H23" s="88">
        <f>('Hardware demands'!H22-'Hardware demands'!G22)*'Variable costs'!$E16</f>
        <v>0</v>
      </c>
      <c r="I23" s="88">
        <f>('Hardware demands'!I22-'Hardware demands'!H22)*'Variable costs'!$E16</f>
        <v>0</v>
      </c>
      <c r="J23" s="88">
        <f>('Hardware demands'!J22-'Hardware demands'!I22)*'Variable costs'!$E16</f>
        <v>0</v>
      </c>
      <c r="K23" s="88">
        <f>('Hardware demands'!K22-'Hardware demands'!J22)*'Variable costs'!$E16</f>
        <v>0</v>
      </c>
      <c r="L23" s="88">
        <f>('Hardware demands'!L22-'Hardware demands'!K22)*'Variable costs'!$E16</f>
        <v>0</v>
      </c>
      <c r="M23" s="88">
        <f>('Hardware demands'!M22-'Hardware demands'!L22)*'Variable costs'!$E16</f>
        <v>0</v>
      </c>
    </row>
    <row r="24" spans="1:13" x14ac:dyDescent="0.3">
      <c r="A24" s="87" t="s">
        <v>0</v>
      </c>
      <c r="B24" s="88">
        <f>0</f>
        <v>0</v>
      </c>
      <c r="C24" s="88">
        <f>0</f>
        <v>0</v>
      </c>
      <c r="D24" s="88">
        <f>0</f>
        <v>0</v>
      </c>
      <c r="E24" s="88">
        <f>0</f>
        <v>0</v>
      </c>
      <c r="F24" s="88">
        <f>0</f>
        <v>0</v>
      </c>
      <c r="G24" s="88">
        <f>0</f>
        <v>0</v>
      </c>
      <c r="H24" s="88">
        <f>0</f>
        <v>0</v>
      </c>
      <c r="I24" s="88">
        <f>0</f>
        <v>0</v>
      </c>
      <c r="J24" s="88">
        <f>0</f>
        <v>0</v>
      </c>
      <c r="K24" s="88">
        <f>0</f>
        <v>0</v>
      </c>
      <c r="L24" s="88">
        <f>0</f>
        <v>0</v>
      </c>
      <c r="M24" s="88">
        <f>0</f>
        <v>0</v>
      </c>
    </row>
    <row r="25" spans="1:13" x14ac:dyDescent="0.3">
      <c r="A25" s="85" t="s">
        <v>9</v>
      </c>
      <c r="B25" s="86">
        <f t="shared" ref="B25:C25" si="1">SUM(B19:B24)</f>
        <v>7000</v>
      </c>
      <c r="C25" s="86">
        <f t="shared" si="1"/>
        <v>10250</v>
      </c>
      <c r="D25" s="86">
        <f t="shared" ref="D25:M25" si="2">SUM(D19:D24)</f>
        <v>7000</v>
      </c>
      <c r="E25" s="86">
        <f t="shared" si="2"/>
        <v>10250</v>
      </c>
      <c r="F25" s="86">
        <f t="shared" si="2"/>
        <v>7000</v>
      </c>
      <c r="G25" s="86">
        <f t="shared" si="2"/>
        <v>8750</v>
      </c>
      <c r="H25" s="86">
        <f t="shared" si="2"/>
        <v>12000</v>
      </c>
      <c r="I25" s="86">
        <f t="shared" si="2"/>
        <v>8750</v>
      </c>
      <c r="J25" s="86">
        <f t="shared" si="2"/>
        <v>8500</v>
      </c>
      <c r="K25" s="86">
        <f t="shared" si="2"/>
        <v>8750</v>
      </c>
      <c r="L25" s="86">
        <f t="shared" si="2"/>
        <v>8500</v>
      </c>
      <c r="M25" s="86">
        <f t="shared" si="2"/>
        <v>8750</v>
      </c>
    </row>
    <row r="27" spans="1:13" ht="46.8" x14ac:dyDescent="0.35">
      <c r="A27" s="83" t="s">
        <v>57</v>
      </c>
      <c r="B27" s="84" t="s">
        <v>40</v>
      </c>
      <c r="C27" s="84" t="s">
        <v>41</v>
      </c>
      <c r="D27" s="84" t="s">
        <v>42</v>
      </c>
      <c r="E27" s="84" t="s">
        <v>43</v>
      </c>
      <c r="F27" s="84" t="s">
        <v>44</v>
      </c>
      <c r="G27" s="84" t="s">
        <v>45</v>
      </c>
      <c r="H27" s="84" t="s">
        <v>46</v>
      </c>
      <c r="I27" s="84" t="s">
        <v>47</v>
      </c>
      <c r="J27" s="84" t="s">
        <v>48</v>
      </c>
      <c r="K27" s="84" t="s">
        <v>49</v>
      </c>
      <c r="L27" s="84" t="s">
        <v>50</v>
      </c>
      <c r="M27" s="84" t="s">
        <v>51</v>
      </c>
    </row>
    <row r="28" spans="1:13" x14ac:dyDescent="0.3">
      <c r="A28" s="87" t="s">
        <v>52</v>
      </c>
      <c r="B28" s="88">
        <f>('Hardware demands'!B25-'Hardware demands'!M18)*'Variable costs'!$E12</f>
        <v>1750</v>
      </c>
      <c r="C28" s="88">
        <f>('Hardware demands'!C25-'Hardware demands'!B25)*'Variable costs'!$E12</f>
        <v>1750</v>
      </c>
      <c r="D28" s="88">
        <f>('Hardware demands'!D25-'Hardware demands'!C25)*'Variable costs'!$E12</f>
        <v>1750</v>
      </c>
      <c r="E28" s="88">
        <f>('Hardware demands'!E25-'Hardware demands'!D25)*'Variable costs'!$E12</f>
        <v>1750</v>
      </c>
      <c r="F28" s="88">
        <f>('Hardware demands'!F25-'Hardware demands'!E25)*'Variable costs'!$E12</f>
        <v>1750</v>
      </c>
      <c r="G28" s="88">
        <f>('Hardware demands'!G25-'Hardware demands'!F25)*'Variable costs'!$E12</f>
        <v>1750</v>
      </c>
      <c r="H28" s="88">
        <f>('Hardware demands'!H25-'Hardware demands'!G25)*'Variable costs'!$E12</f>
        <v>1750</v>
      </c>
      <c r="I28" s="88">
        <f>('Hardware demands'!I25-'Hardware demands'!H25)*'Variable costs'!$E12</f>
        <v>1750</v>
      </c>
      <c r="J28" s="88">
        <f>('Hardware demands'!J25-'Hardware demands'!I25)*'Variable costs'!$E12</f>
        <v>1750</v>
      </c>
      <c r="K28" s="88">
        <f>('Hardware demands'!K25-'Hardware demands'!J25)*'Variable costs'!$E12</f>
        <v>1750</v>
      </c>
      <c r="L28" s="88">
        <f>('Hardware demands'!L25-'Hardware demands'!K25)*'Variable costs'!$E12</f>
        <v>1750</v>
      </c>
      <c r="M28" s="88">
        <f>('Hardware demands'!M25-'Hardware demands'!L25)*'Variable costs'!$E12</f>
        <v>1750</v>
      </c>
    </row>
    <row r="29" spans="1:13" x14ac:dyDescent="0.3">
      <c r="A29" s="87" t="s">
        <v>53</v>
      </c>
      <c r="B29" s="88">
        <f>('Hardware demands'!B26-'Hardware demands'!M19)*'Variable costs'!$E13</f>
        <v>7000</v>
      </c>
      <c r="C29" s="88">
        <f>('Hardware demands'!C26-'Hardware demands'!B26)*'Variable costs'!$E13</f>
        <v>7000</v>
      </c>
      <c r="D29" s="88">
        <f>('Hardware demands'!D26-'Hardware demands'!C26)*'Variable costs'!$E13</f>
        <v>7000</v>
      </c>
      <c r="E29" s="88">
        <f>('Hardware demands'!E26-'Hardware demands'!D26)*'Variable costs'!$E13</f>
        <v>8750</v>
      </c>
      <c r="F29" s="88">
        <f>('Hardware demands'!F26-'Hardware demands'!E26)*'Variable costs'!$E13</f>
        <v>7000</v>
      </c>
      <c r="G29" s="88">
        <f>('Hardware demands'!G26-'Hardware demands'!F26)*'Variable costs'!$E13</f>
        <v>7000</v>
      </c>
      <c r="H29" s="88">
        <f>('Hardware demands'!H26-'Hardware demands'!G26)*'Variable costs'!$E13</f>
        <v>7000</v>
      </c>
      <c r="I29" s="88">
        <f>('Hardware demands'!I26-'Hardware demands'!H26)*'Variable costs'!$E13</f>
        <v>7000</v>
      </c>
      <c r="J29" s="88">
        <f>('Hardware demands'!J26-'Hardware demands'!I26)*'Variable costs'!$E13</f>
        <v>7000</v>
      </c>
      <c r="K29" s="88">
        <f>('Hardware demands'!K26-'Hardware demands'!J26)*'Variable costs'!$E13</f>
        <v>8750</v>
      </c>
      <c r="L29" s="88">
        <f>('Hardware demands'!L26-'Hardware demands'!K26)*'Variable costs'!$E13</f>
        <v>7000</v>
      </c>
      <c r="M29" s="88">
        <f>('Hardware demands'!M26-'Hardware demands'!L26)*'Variable costs'!$E13</f>
        <v>7000</v>
      </c>
    </row>
    <row r="30" spans="1:13" x14ac:dyDescent="0.3">
      <c r="A30" s="87" t="s">
        <v>54</v>
      </c>
      <c r="B30" s="88">
        <f>('Hardware demands'!B27-'Hardware demands'!M20)*'Variable costs'!$E14</f>
        <v>7000</v>
      </c>
      <c r="C30" s="88">
        <f>('Hardware demands'!C27-'Hardware demands'!B27)*'Variable costs'!$E14</f>
        <v>7000</v>
      </c>
      <c r="D30" s="88">
        <f>('Hardware demands'!D27-'Hardware demands'!C27)*'Variable costs'!$E14</f>
        <v>7000</v>
      </c>
      <c r="E30" s="88">
        <f>('Hardware demands'!E27-'Hardware demands'!D27)*'Variable costs'!$E14</f>
        <v>8750</v>
      </c>
      <c r="F30" s="88">
        <f>('Hardware demands'!F27-'Hardware demands'!E27)*'Variable costs'!$E14</f>
        <v>7000</v>
      </c>
      <c r="G30" s="88">
        <f>('Hardware demands'!G27-'Hardware demands'!F27)*'Variable costs'!$E14</f>
        <v>7000</v>
      </c>
      <c r="H30" s="88">
        <f>('Hardware demands'!H27-'Hardware demands'!G27)*'Variable costs'!$E14</f>
        <v>7000</v>
      </c>
      <c r="I30" s="88">
        <f>('Hardware demands'!I27-'Hardware demands'!H27)*'Variable costs'!$E14</f>
        <v>7000</v>
      </c>
      <c r="J30" s="88">
        <f>('Hardware demands'!J27-'Hardware demands'!I27)*'Variable costs'!$E14</f>
        <v>7000</v>
      </c>
      <c r="K30" s="88">
        <f>('Hardware demands'!K27-'Hardware demands'!J27)*'Variable costs'!$E14</f>
        <v>8750</v>
      </c>
      <c r="L30" s="88">
        <f>('Hardware demands'!L27-'Hardware demands'!K27)*'Variable costs'!$E14</f>
        <v>7000</v>
      </c>
      <c r="M30" s="88">
        <f>('Hardware demands'!M27-'Hardware demands'!L27)*'Variable costs'!$E14</f>
        <v>7000</v>
      </c>
    </row>
    <row r="31" spans="1:13" x14ac:dyDescent="0.3">
      <c r="A31" s="87" t="str">
        <f>A22</f>
        <v>Routers</v>
      </c>
      <c r="B31" s="88">
        <f>('Hardware demands'!B28-'Hardware demands'!M21)*'Variable costs'!$E15</f>
        <v>1500</v>
      </c>
      <c r="C31" s="88">
        <f>('Hardware demands'!C28-'Hardware demands'!B28)*'Variable costs'!$E15</f>
        <v>1500</v>
      </c>
      <c r="D31" s="88">
        <f>('Hardware demands'!D28-'Hardware demands'!C28)*'Variable costs'!$E15</f>
        <v>0</v>
      </c>
      <c r="E31" s="88">
        <f>('Hardware demands'!E28-'Hardware demands'!D28)*'Variable costs'!$E15</f>
        <v>1500</v>
      </c>
      <c r="F31" s="88">
        <f>('Hardware demands'!F28-'Hardware demands'!E28)*'Variable costs'!$E15</f>
        <v>1500</v>
      </c>
      <c r="G31" s="88">
        <f>('Hardware demands'!G28-'Hardware demands'!F28)*'Variable costs'!$E15</f>
        <v>1500</v>
      </c>
      <c r="H31" s="88">
        <f>('Hardware demands'!H28-'Hardware demands'!G28)*'Variable costs'!$E15</f>
        <v>1500</v>
      </c>
      <c r="I31" s="88">
        <f>('Hardware demands'!I28-'Hardware demands'!H28)*'Variable costs'!$E15</f>
        <v>1500</v>
      </c>
      <c r="J31" s="88">
        <f>('Hardware demands'!J28-'Hardware demands'!I28)*'Variable costs'!$E15</f>
        <v>0</v>
      </c>
      <c r="K31" s="88">
        <f>('Hardware demands'!K28-'Hardware demands'!J28)*'Variable costs'!$E15</f>
        <v>1500</v>
      </c>
      <c r="L31" s="88">
        <f>('Hardware demands'!L28-'Hardware demands'!K28)*'Variable costs'!$E15</f>
        <v>1500</v>
      </c>
      <c r="M31" s="88">
        <f>('Hardware demands'!M28-'Hardware demands'!L28)*'Variable costs'!$E15</f>
        <v>1500</v>
      </c>
    </row>
    <row r="32" spans="1:13" x14ac:dyDescent="0.3">
      <c r="A32" s="87" t="str">
        <f>A23</f>
        <v>Switches</v>
      </c>
      <c r="B32" s="88">
        <f>('Hardware demands'!B29-'Hardware demands'!M22)*'Variable costs'!$E16</f>
        <v>0</v>
      </c>
      <c r="C32" s="88">
        <f>('Hardware demands'!C29-'Hardware demands'!B29)*'Variable costs'!$E16</f>
        <v>0</v>
      </c>
      <c r="D32" s="88">
        <f>('Hardware demands'!D29-'Hardware demands'!C29)*'Variable costs'!$E16</f>
        <v>0</v>
      </c>
      <c r="E32" s="88">
        <f>('Hardware demands'!E29-'Hardware demands'!D29)*'Variable costs'!$E16</f>
        <v>0</v>
      </c>
      <c r="F32" s="88">
        <f>('Hardware demands'!F29-'Hardware demands'!E29)*'Variable costs'!$E16</f>
        <v>0</v>
      </c>
      <c r="G32" s="88">
        <f>('Hardware demands'!G29-'Hardware demands'!F29)*'Variable costs'!$E16</f>
        <v>0</v>
      </c>
      <c r="H32" s="88">
        <f>('Hardware demands'!H29-'Hardware demands'!G29)*'Variable costs'!$E16</f>
        <v>0</v>
      </c>
      <c r="I32" s="88">
        <f>('Hardware demands'!I29-'Hardware demands'!H29)*'Variable costs'!$E16</f>
        <v>0</v>
      </c>
      <c r="J32" s="88">
        <f>('Hardware demands'!J29-'Hardware demands'!I29)*'Variable costs'!$E16</f>
        <v>0</v>
      </c>
      <c r="K32" s="88">
        <f>('Hardware demands'!K29-'Hardware demands'!J29)*'Variable costs'!$E16</f>
        <v>0</v>
      </c>
      <c r="L32" s="88">
        <f>('Hardware demands'!L29-'Hardware demands'!K29)*'Variable costs'!$E16</f>
        <v>0</v>
      </c>
      <c r="M32" s="88">
        <f>('Hardware demands'!M29-'Hardware demands'!L29)*'Variable costs'!$E16</f>
        <v>0</v>
      </c>
    </row>
    <row r="33" spans="1:13" x14ac:dyDescent="0.3">
      <c r="A33" s="87" t="s">
        <v>0</v>
      </c>
      <c r="B33" s="88">
        <f>0</f>
        <v>0</v>
      </c>
      <c r="C33" s="88">
        <f>0</f>
        <v>0</v>
      </c>
      <c r="D33" s="88">
        <f>0</f>
        <v>0</v>
      </c>
      <c r="E33" s="88">
        <f>0</f>
        <v>0</v>
      </c>
      <c r="F33" s="88">
        <f>0</f>
        <v>0</v>
      </c>
      <c r="G33" s="88">
        <f>0</f>
        <v>0</v>
      </c>
      <c r="H33" s="88">
        <f>0</f>
        <v>0</v>
      </c>
      <c r="I33" s="88">
        <f>0</f>
        <v>0</v>
      </c>
      <c r="J33" s="88">
        <f>0</f>
        <v>0</v>
      </c>
      <c r="K33" s="88">
        <f>0</f>
        <v>0</v>
      </c>
      <c r="L33" s="88">
        <f>0</f>
        <v>0</v>
      </c>
      <c r="M33" s="88">
        <f>0</f>
        <v>0</v>
      </c>
    </row>
    <row r="34" spans="1:13" x14ac:dyDescent="0.3">
      <c r="A34" s="85" t="s">
        <v>9</v>
      </c>
      <c r="B34" s="86">
        <f>SUM(B28:B33)</f>
        <v>17250</v>
      </c>
      <c r="C34" s="86">
        <f t="shared" ref="C34:M34" si="3">SUM(C28:C33)</f>
        <v>17250</v>
      </c>
      <c r="D34" s="86">
        <f t="shared" si="3"/>
        <v>15750</v>
      </c>
      <c r="E34" s="86">
        <f t="shared" si="3"/>
        <v>20750</v>
      </c>
      <c r="F34" s="86">
        <f t="shared" si="3"/>
        <v>17250</v>
      </c>
      <c r="G34" s="86">
        <f t="shared" si="3"/>
        <v>17250</v>
      </c>
      <c r="H34" s="86">
        <f t="shared" si="3"/>
        <v>17250</v>
      </c>
      <c r="I34" s="86">
        <f t="shared" si="3"/>
        <v>17250</v>
      </c>
      <c r="J34" s="86">
        <f t="shared" si="3"/>
        <v>15750</v>
      </c>
      <c r="K34" s="86">
        <f t="shared" si="3"/>
        <v>20750</v>
      </c>
      <c r="L34" s="86">
        <f t="shared" si="3"/>
        <v>17250</v>
      </c>
      <c r="M34" s="86">
        <f t="shared" si="3"/>
        <v>17250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M34"/>
  <sheetViews>
    <sheetView topLeftCell="A10" workbookViewId="0">
      <selection activeCell="C16" sqref="C16"/>
    </sheetView>
  </sheetViews>
  <sheetFormatPr defaultRowHeight="14.4" x14ac:dyDescent="0.3"/>
  <cols>
    <col min="1" max="1" width="13.109375" customWidth="1"/>
    <col min="2" max="13" width="13.109375" bestFit="1" customWidth="1"/>
  </cols>
  <sheetData>
    <row r="1" spans="1:13" ht="21" x14ac:dyDescent="0.4">
      <c r="A1" s="2" t="s">
        <v>86</v>
      </c>
    </row>
    <row r="8" spans="1:13" ht="18" x14ac:dyDescent="0.35">
      <c r="A8" s="1"/>
    </row>
    <row r="9" spans="1:13" ht="46.8" x14ac:dyDescent="0.35">
      <c r="A9" s="83" t="s">
        <v>55</v>
      </c>
      <c r="B9" s="84" t="s">
        <v>40</v>
      </c>
      <c r="C9" s="84" t="s">
        <v>41</v>
      </c>
      <c r="D9" s="84" t="s">
        <v>42</v>
      </c>
      <c r="E9" s="84" t="s">
        <v>43</v>
      </c>
      <c r="F9" s="84" t="s">
        <v>44</v>
      </c>
      <c r="G9" s="84" t="s">
        <v>45</v>
      </c>
      <c r="H9" s="84" t="s">
        <v>46</v>
      </c>
      <c r="I9" s="84" t="s">
        <v>47</v>
      </c>
      <c r="J9" s="84" t="s">
        <v>48</v>
      </c>
      <c r="K9" s="84" t="s">
        <v>49</v>
      </c>
      <c r="L9" s="84" t="s">
        <v>50</v>
      </c>
      <c r="M9" s="84" t="s">
        <v>51</v>
      </c>
    </row>
    <row r="10" spans="1:13" x14ac:dyDescent="0.3">
      <c r="A10" s="87" t="s">
        <v>52</v>
      </c>
      <c r="B10" s="88">
        <f>('Hardware demands'!B10)*'Variable costs'!$E12</f>
        <v>1750</v>
      </c>
      <c r="C10" s="88">
        <f>('Hardware demands'!C10-'Hardware demands'!B10)*'Variable costs'!$E12</f>
        <v>0</v>
      </c>
      <c r="D10" s="88">
        <f>('Hardware demands'!D10-'Hardware demands'!C10)*'Variable costs'!$E12</f>
        <v>0</v>
      </c>
      <c r="E10" s="88">
        <f>('Hardware demands'!E10-'Hardware demands'!D10)*'Variable costs'!$E12</f>
        <v>1750</v>
      </c>
      <c r="F10" s="88">
        <f>('Hardware demands'!F10-'Hardware demands'!E10)*'Variable costs'!$E12</f>
        <v>0</v>
      </c>
      <c r="G10" s="88">
        <f>('Hardware demands'!G10-'Hardware demands'!F10)*'Variable costs'!$E12</f>
        <v>0</v>
      </c>
      <c r="H10" s="88">
        <f>('Hardware demands'!H10-'Hardware demands'!G10)*'Variable costs'!$E12</f>
        <v>0</v>
      </c>
      <c r="I10" s="88">
        <f>('Hardware demands'!I10-'Hardware demands'!H10)*'Variable costs'!$E12</f>
        <v>1750</v>
      </c>
      <c r="J10" s="88">
        <f>('Hardware demands'!J10-'Hardware demands'!I10)*'Variable costs'!$E12</f>
        <v>0</v>
      </c>
      <c r="K10" s="88">
        <f>('Hardware demands'!K10-'Hardware demands'!J10)*'Variable costs'!$E12</f>
        <v>0</v>
      </c>
      <c r="L10" s="88">
        <f>('Hardware demands'!L10-'Hardware demands'!K10)*'Variable costs'!$E12</f>
        <v>0</v>
      </c>
      <c r="M10" s="88">
        <f>('Hardware demands'!M10-'Hardware demands'!L10)*'Variable costs'!$E12</f>
        <v>1750</v>
      </c>
    </row>
    <row r="11" spans="1:13" x14ac:dyDescent="0.3">
      <c r="A11" s="87" t="s">
        <v>53</v>
      </c>
      <c r="B11" s="88">
        <f>('Hardware demands'!B11)*'Variable costs'!$E13</f>
        <v>3500</v>
      </c>
      <c r="C11" s="88">
        <f>('Hardware demands'!C11-'Hardware demands'!B11)*'Variable costs'!$E13</f>
        <v>1750</v>
      </c>
      <c r="D11" s="88">
        <f>('Hardware demands'!D11-'Hardware demands'!C11)*'Variable costs'!$E13</f>
        <v>1750</v>
      </c>
      <c r="E11" s="88">
        <f>('Hardware demands'!E11-'Hardware demands'!D11)*'Variable costs'!$E13</f>
        <v>1750</v>
      </c>
      <c r="F11" s="88">
        <f>('Hardware demands'!F11-'Hardware demands'!E11)*'Variable costs'!$E13</f>
        <v>1750</v>
      </c>
      <c r="G11" s="88">
        <f>('Hardware demands'!G11-'Hardware demands'!F11)*'Variable costs'!$E13</f>
        <v>1750</v>
      </c>
      <c r="H11" s="88">
        <f>('Hardware demands'!H11-'Hardware demands'!G11)*'Variable costs'!$E13</f>
        <v>1750</v>
      </c>
      <c r="I11" s="88">
        <f>('Hardware demands'!I11-'Hardware demands'!H11)*'Variable costs'!$E13</f>
        <v>1750</v>
      </c>
      <c r="J11" s="88">
        <f>('Hardware demands'!J11-'Hardware demands'!I11)*'Variable costs'!$E13</f>
        <v>1750</v>
      </c>
      <c r="K11" s="88">
        <f>('Hardware demands'!K11-'Hardware demands'!J11)*'Variable costs'!$E13</f>
        <v>1750</v>
      </c>
      <c r="L11" s="88">
        <f>('Hardware demands'!L11-'Hardware demands'!K11)*'Variable costs'!$E13</f>
        <v>1750</v>
      </c>
      <c r="M11" s="88">
        <f>('Hardware demands'!M11-'Hardware demands'!L11)*'Variable costs'!$E13</f>
        <v>1750</v>
      </c>
    </row>
    <row r="12" spans="1:13" x14ac:dyDescent="0.3">
      <c r="A12" s="87" t="s">
        <v>54</v>
      </c>
      <c r="B12" s="88">
        <f>('Hardware demands'!B12)*'Variable costs'!$E14</f>
        <v>3500</v>
      </c>
      <c r="C12" s="88">
        <f>('Hardware demands'!C12-'Hardware demands'!B12)*'Variable costs'!$E14</f>
        <v>1750</v>
      </c>
      <c r="D12" s="88">
        <f>('Hardware demands'!D12-'Hardware demands'!C12)*'Variable costs'!$E14</f>
        <v>1750</v>
      </c>
      <c r="E12" s="88">
        <f>('Hardware demands'!E12-'Hardware demands'!D12)*'Variable costs'!$E14</f>
        <v>1750</v>
      </c>
      <c r="F12" s="88">
        <f>('Hardware demands'!F12-'Hardware demands'!E12)*'Variable costs'!$E14</f>
        <v>1750</v>
      </c>
      <c r="G12" s="88">
        <f>('Hardware demands'!G12-'Hardware demands'!F12)*'Variable costs'!$E14</f>
        <v>1750</v>
      </c>
      <c r="H12" s="88">
        <f>('Hardware demands'!H12-'Hardware demands'!G12)*'Variable costs'!$E14</f>
        <v>1750</v>
      </c>
      <c r="I12" s="88">
        <f>('Hardware demands'!I12-'Hardware demands'!H12)*'Variable costs'!$E14</f>
        <v>1750</v>
      </c>
      <c r="J12" s="88">
        <f>('Hardware demands'!J12-'Hardware demands'!I12)*'Variable costs'!$E14</f>
        <v>1750</v>
      </c>
      <c r="K12" s="88">
        <f>('Hardware demands'!K12-'Hardware demands'!J12)*'Variable costs'!$E14</f>
        <v>1750</v>
      </c>
      <c r="L12" s="88">
        <f>('Hardware demands'!L12-'Hardware demands'!K12)*'Variable costs'!$E14</f>
        <v>1750</v>
      </c>
      <c r="M12" s="88">
        <f>('Hardware demands'!M12-'Hardware demands'!L12)*'Variable costs'!$E14</f>
        <v>1750</v>
      </c>
    </row>
    <row r="13" spans="1:13" x14ac:dyDescent="0.3">
      <c r="A13" s="87" t="s">
        <v>76</v>
      </c>
      <c r="B13" s="88">
        <f>('Hardware demands'!B13)*'Variable costs'!$E15</f>
        <v>3000</v>
      </c>
      <c r="C13" s="88">
        <f>('Hardware demands'!C13-'Hardware demands'!B13)*'Variable costs'!$E15</f>
        <v>-1500</v>
      </c>
      <c r="D13" s="88">
        <f>('Hardware demands'!D13-'Hardware demands'!C13)*'Variable costs'!$E15</f>
        <v>0</v>
      </c>
      <c r="E13" s="88">
        <f>('Hardware demands'!E13-'Hardware demands'!D13)*'Variable costs'!$E15</f>
        <v>0</v>
      </c>
      <c r="F13" s="88">
        <f>('Hardware demands'!F13-'Hardware demands'!E13)*'Variable costs'!$E15</f>
        <v>1500</v>
      </c>
      <c r="G13" s="88">
        <f>('Hardware demands'!G13-'Hardware demands'!F13)*'Variable costs'!$E15</f>
        <v>0</v>
      </c>
      <c r="H13" s="88">
        <f>('Hardware demands'!H13-'Hardware demands'!G13)*'Variable costs'!$E15</f>
        <v>0</v>
      </c>
      <c r="I13" s="88">
        <f>('Hardware demands'!I13-'Hardware demands'!H13)*'Variable costs'!$E15</f>
        <v>0</v>
      </c>
      <c r="J13" s="88">
        <f>('Hardware demands'!J13-'Hardware demands'!I13)*'Variable costs'!$E15</f>
        <v>0</v>
      </c>
      <c r="K13" s="88">
        <f>('Hardware demands'!K13-'Hardware demands'!J13)*'Variable costs'!$E15</f>
        <v>1500</v>
      </c>
      <c r="L13" s="88">
        <f>('Hardware demands'!L13-'Hardware demands'!K13)*'Variable costs'!$E15</f>
        <v>0</v>
      </c>
      <c r="M13" s="88">
        <f>('Hardware demands'!M13-'Hardware demands'!L13)*'Variable costs'!$E15</f>
        <v>0</v>
      </c>
    </row>
    <row r="14" spans="1:13" x14ac:dyDescent="0.3">
      <c r="A14" s="87" t="s">
        <v>77</v>
      </c>
      <c r="B14" s="88">
        <f>('Hardware demands'!B14)*'Variable costs'!$E16</f>
        <v>1000</v>
      </c>
      <c r="C14" s="88">
        <f>('Hardware demands'!C14-'Hardware demands'!B14)*'Variable costs'!$E16</f>
        <v>0</v>
      </c>
      <c r="D14" s="88">
        <f>('Hardware demands'!D14-'Hardware demands'!C14)*'Variable costs'!$E16</f>
        <v>0</v>
      </c>
      <c r="E14" s="88">
        <f>('Hardware demands'!E14-'Hardware demands'!D14)*'Variable costs'!$E16</f>
        <v>0</v>
      </c>
      <c r="F14" s="88">
        <f>('Hardware demands'!F14-'Hardware demands'!E14)*'Variable costs'!$E16</f>
        <v>0</v>
      </c>
      <c r="G14" s="88">
        <f>('Hardware demands'!G14-'Hardware demands'!F14)*'Variable costs'!$E16</f>
        <v>0</v>
      </c>
      <c r="H14" s="88">
        <f>('Hardware demands'!H14-'Hardware demands'!G14)*'Variable costs'!$E16</f>
        <v>0</v>
      </c>
      <c r="I14" s="88">
        <f>('Hardware demands'!I14-'Hardware demands'!H14)*'Variable costs'!$E16</f>
        <v>0</v>
      </c>
      <c r="J14" s="88">
        <f>('Hardware demands'!J14-'Hardware demands'!I14)*'Variable costs'!$E16</f>
        <v>0</v>
      </c>
      <c r="K14" s="88">
        <f>('Hardware demands'!K14-'Hardware demands'!J14)*'Variable costs'!$E16</f>
        <v>0</v>
      </c>
      <c r="L14" s="88">
        <f>('Hardware demands'!L14-'Hardware demands'!K14)*'Variable costs'!$E16</f>
        <v>0</v>
      </c>
      <c r="M14" s="88">
        <f>('Hardware demands'!M14-'Hardware demands'!L14)*'Variable costs'!$E16</f>
        <v>0</v>
      </c>
    </row>
    <row r="15" spans="1:13" x14ac:dyDescent="0.3">
      <c r="A15" s="87" t="s">
        <v>0</v>
      </c>
      <c r="B15" s="88">
        <f>Expenses!B15</f>
        <v>2000</v>
      </c>
      <c r="C15" s="88">
        <f>Expenses!C15</f>
        <v>0</v>
      </c>
      <c r="D15" s="88">
        <f>Expenses!D15</f>
        <v>0</v>
      </c>
      <c r="E15" s="88">
        <f>Expenses!E15</f>
        <v>0</v>
      </c>
      <c r="F15" s="88">
        <f>Expenses!F15</f>
        <v>0</v>
      </c>
      <c r="G15" s="88">
        <f>Expenses!G15</f>
        <v>0</v>
      </c>
      <c r="H15" s="88">
        <f>Expenses!H15</f>
        <v>0</v>
      </c>
      <c r="I15" s="88">
        <f>Expenses!I15</f>
        <v>0</v>
      </c>
      <c r="J15" s="88">
        <f>Expenses!J15</f>
        <v>0</v>
      </c>
      <c r="K15" s="88">
        <f>Expenses!K15</f>
        <v>0</v>
      </c>
      <c r="L15" s="88">
        <f>Expenses!L15</f>
        <v>0</v>
      </c>
      <c r="M15" s="88">
        <f>Expenses!M15</f>
        <v>0</v>
      </c>
    </row>
    <row r="16" spans="1:13" x14ac:dyDescent="0.3">
      <c r="A16" s="85" t="s">
        <v>9</v>
      </c>
      <c r="B16" s="86">
        <f>SUM(B10:B15)</f>
        <v>14750</v>
      </c>
      <c r="C16" s="86">
        <f>SUM(C10:C15)+B16</f>
        <v>16750</v>
      </c>
      <c r="D16" s="86">
        <f t="shared" ref="D16:M16" si="0">SUM(D10:D15)+C16</f>
        <v>20250</v>
      </c>
      <c r="E16" s="86">
        <f t="shared" si="0"/>
        <v>25500</v>
      </c>
      <c r="F16" s="86">
        <f t="shared" si="0"/>
        <v>30500</v>
      </c>
      <c r="G16" s="86">
        <f t="shared" si="0"/>
        <v>34000</v>
      </c>
      <c r="H16" s="86">
        <f t="shared" si="0"/>
        <v>37500</v>
      </c>
      <c r="I16" s="86">
        <f t="shared" si="0"/>
        <v>42750</v>
      </c>
      <c r="J16" s="86">
        <f t="shared" si="0"/>
        <v>46250</v>
      </c>
      <c r="K16" s="86">
        <f t="shared" si="0"/>
        <v>51250</v>
      </c>
      <c r="L16" s="86">
        <f t="shared" si="0"/>
        <v>54750</v>
      </c>
      <c r="M16" s="86">
        <f t="shared" si="0"/>
        <v>60000</v>
      </c>
    </row>
    <row r="18" spans="1:13" ht="46.8" x14ac:dyDescent="0.35">
      <c r="A18" s="83" t="s">
        <v>56</v>
      </c>
      <c r="B18" s="84" t="s">
        <v>40</v>
      </c>
      <c r="C18" s="84" t="s">
        <v>41</v>
      </c>
      <c r="D18" s="84" t="s">
        <v>42</v>
      </c>
      <c r="E18" s="84" t="s">
        <v>43</v>
      </c>
      <c r="F18" s="84" t="s">
        <v>44</v>
      </c>
      <c r="G18" s="84" t="s">
        <v>45</v>
      </c>
      <c r="H18" s="84" t="s">
        <v>46</v>
      </c>
      <c r="I18" s="84" t="s">
        <v>47</v>
      </c>
      <c r="J18" s="84" t="s">
        <v>48</v>
      </c>
      <c r="K18" s="84" t="s">
        <v>49</v>
      </c>
      <c r="L18" s="84" t="s">
        <v>50</v>
      </c>
      <c r="M18" s="84" t="s">
        <v>51</v>
      </c>
    </row>
    <row r="19" spans="1:13" x14ac:dyDescent="0.3">
      <c r="A19" s="87" t="s">
        <v>52</v>
      </c>
      <c r="B19" s="88">
        <f>('Hardware demands'!B18-'Hardware demands'!M10)*'Variable costs'!$E12</f>
        <v>0</v>
      </c>
      <c r="C19" s="88">
        <f>('Hardware demands'!C18-'Hardware demands'!B18)*'Variable costs'!$E12</f>
        <v>1750</v>
      </c>
      <c r="D19" s="88">
        <f>('Hardware demands'!D18-'Hardware demands'!C18)*'Variable costs'!$E12</f>
        <v>0</v>
      </c>
      <c r="E19" s="88">
        <f>('Hardware demands'!E18-'Hardware demands'!D18)*'Variable costs'!$E12</f>
        <v>1750</v>
      </c>
      <c r="F19" s="88">
        <f>('Hardware demands'!F18-'Hardware demands'!E18)*'Variable costs'!$E12</f>
        <v>0</v>
      </c>
      <c r="G19" s="88">
        <f>('Hardware demands'!G18-'Hardware demands'!F18)*'Variable costs'!$E12</f>
        <v>1750</v>
      </c>
      <c r="H19" s="88">
        <f>('Hardware demands'!H18-'Hardware demands'!G18)*'Variable costs'!$E12</f>
        <v>0</v>
      </c>
      <c r="I19" s="88">
        <f>('Hardware demands'!I18-'Hardware demands'!H18)*'Variable costs'!$E12</f>
        <v>1750</v>
      </c>
      <c r="J19" s="88">
        <f>('Hardware demands'!J18-'Hardware demands'!I18)*'Variable costs'!$E12</f>
        <v>0</v>
      </c>
      <c r="K19" s="88">
        <f>('Hardware demands'!K18-'Hardware demands'!J18)*'Variable costs'!$E12</f>
        <v>1750</v>
      </c>
      <c r="L19" s="88">
        <f>('Hardware demands'!L18-'Hardware demands'!K18)*'Variable costs'!$E12</f>
        <v>0</v>
      </c>
      <c r="M19" s="88">
        <f>('Hardware demands'!M18-'Hardware demands'!L18)*'Variable costs'!$E12</f>
        <v>1750</v>
      </c>
    </row>
    <row r="20" spans="1:13" x14ac:dyDescent="0.3">
      <c r="A20" s="87" t="s">
        <v>53</v>
      </c>
      <c r="B20" s="88">
        <f>('Hardware demands'!B19-'Hardware demands'!M11)*'Variable costs'!$E13</f>
        <v>3500</v>
      </c>
      <c r="C20" s="88">
        <f>('Hardware demands'!C19-'Hardware demands'!B19)*'Variable costs'!$E13</f>
        <v>3500</v>
      </c>
      <c r="D20" s="88">
        <f>('Hardware demands'!D19-'Hardware demands'!C19)*'Variable costs'!$E13</f>
        <v>3500</v>
      </c>
      <c r="E20" s="88">
        <f>('Hardware demands'!E19-'Hardware demands'!D19)*'Variable costs'!$E13</f>
        <v>3500</v>
      </c>
      <c r="F20" s="88">
        <f>('Hardware demands'!F19-'Hardware demands'!E19)*'Variable costs'!$E13</f>
        <v>3500</v>
      </c>
      <c r="G20" s="88">
        <f>('Hardware demands'!G19-'Hardware demands'!F19)*'Variable costs'!$E13</f>
        <v>3500</v>
      </c>
      <c r="H20" s="88">
        <f>('Hardware demands'!H19-'Hardware demands'!G19)*'Variable costs'!$E13</f>
        <v>5250</v>
      </c>
      <c r="I20" s="88">
        <f>('Hardware demands'!I19-'Hardware demands'!H19)*'Variable costs'!$E13</f>
        <v>3500</v>
      </c>
      <c r="J20" s="88">
        <f>('Hardware demands'!J19-'Hardware demands'!I19)*'Variable costs'!$E13</f>
        <v>3500</v>
      </c>
      <c r="K20" s="88">
        <f>('Hardware demands'!K19-'Hardware demands'!J19)*'Variable costs'!$E13</f>
        <v>3500</v>
      </c>
      <c r="L20" s="88">
        <f>('Hardware demands'!L19-'Hardware demands'!K19)*'Variable costs'!$E13</f>
        <v>3500</v>
      </c>
      <c r="M20" s="88">
        <f>('Hardware demands'!M19-'Hardware demands'!L19)*'Variable costs'!$E13</f>
        <v>3500</v>
      </c>
    </row>
    <row r="21" spans="1:13" x14ac:dyDescent="0.3">
      <c r="A21" s="87" t="s">
        <v>54</v>
      </c>
      <c r="B21" s="88">
        <f>('Hardware demands'!B20-'Hardware demands'!M12)*'Variable costs'!$E14</f>
        <v>3500</v>
      </c>
      <c r="C21" s="88">
        <f>('Hardware demands'!C20-'Hardware demands'!B20)*'Variable costs'!$E14</f>
        <v>3500</v>
      </c>
      <c r="D21" s="88">
        <f>('Hardware demands'!D20-'Hardware demands'!C20)*'Variable costs'!$E14</f>
        <v>3500</v>
      </c>
      <c r="E21" s="88">
        <f>('Hardware demands'!E20-'Hardware demands'!D20)*'Variable costs'!$E14</f>
        <v>3500</v>
      </c>
      <c r="F21" s="88">
        <f>('Hardware demands'!F20-'Hardware demands'!E20)*'Variable costs'!$E14</f>
        <v>3500</v>
      </c>
      <c r="G21" s="88">
        <f>('Hardware demands'!G20-'Hardware demands'!F20)*'Variable costs'!$E14</f>
        <v>3500</v>
      </c>
      <c r="H21" s="88">
        <f>('Hardware demands'!H20-'Hardware demands'!G20)*'Variable costs'!$E14</f>
        <v>5250</v>
      </c>
      <c r="I21" s="88">
        <f>('Hardware demands'!I20-'Hardware demands'!H20)*'Variable costs'!$E14</f>
        <v>3500</v>
      </c>
      <c r="J21" s="88">
        <f>('Hardware demands'!J20-'Hardware demands'!I20)*'Variable costs'!$E14</f>
        <v>3500</v>
      </c>
      <c r="K21" s="88">
        <f>('Hardware demands'!K20-'Hardware demands'!J20)*'Variable costs'!$E14</f>
        <v>3500</v>
      </c>
      <c r="L21" s="88">
        <f>('Hardware demands'!L20-'Hardware demands'!K20)*'Variable costs'!$E14</f>
        <v>3500</v>
      </c>
      <c r="M21" s="88">
        <f>('Hardware demands'!M20-'Hardware demands'!L20)*'Variable costs'!$E14</f>
        <v>3500</v>
      </c>
    </row>
    <row r="22" spans="1:13" x14ac:dyDescent="0.3">
      <c r="A22" s="87" t="str">
        <f>A13</f>
        <v>Routers</v>
      </c>
      <c r="B22" s="88">
        <f>('Hardware demands'!B21-'Hardware demands'!M13)*'Variable costs'!$E15</f>
        <v>0</v>
      </c>
      <c r="C22" s="88">
        <f>('Hardware demands'!C21-'Hardware demands'!B21)*'Variable costs'!$E15</f>
        <v>1500</v>
      </c>
      <c r="D22" s="88">
        <f>('Hardware demands'!D21-'Hardware demands'!C21)*'Variable costs'!$E15</f>
        <v>0</v>
      </c>
      <c r="E22" s="88">
        <f>('Hardware demands'!E21-'Hardware demands'!D21)*'Variable costs'!$E15</f>
        <v>1500</v>
      </c>
      <c r="F22" s="88">
        <f>('Hardware demands'!F21-'Hardware demands'!E21)*'Variable costs'!$E15</f>
        <v>0</v>
      </c>
      <c r="G22" s="88">
        <f>('Hardware demands'!G21-'Hardware demands'!F21)*'Variable costs'!$E15</f>
        <v>0</v>
      </c>
      <c r="H22" s="88">
        <f>('Hardware demands'!H21-'Hardware demands'!G21)*'Variable costs'!$E15</f>
        <v>1500</v>
      </c>
      <c r="I22" s="88">
        <f>('Hardware demands'!I21-'Hardware demands'!H21)*'Variable costs'!$E15</f>
        <v>0</v>
      </c>
      <c r="J22" s="88">
        <f>('Hardware demands'!J21-'Hardware demands'!I21)*'Variable costs'!$E15</f>
        <v>1500</v>
      </c>
      <c r="K22" s="88">
        <f>('Hardware demands'!K21-'Hardware demands'!J21)*'Variable costs'!$E15</f>
        <v>0</v>
      </c>
      <c r="L22" s="88">
        <f>('Hardware demands'!L21-'Hardware demands'!K21)*'Variable costs'!$E15</f>
        <v>1500</v>
      </c>
      <c r="M22" s="88">
        <f>('Hardware demands'!M21-'Hardware demands'!L21)*'Variable costs'!$E15</f>
        <v>0</v>
      </c>
    </row>
    <row r="23" spans="1:13" x14ac:dyDescent="0.3">
      <c r="A23" s="87" t="str">
        <f>A14</f>
        <v>Switches</v>
      </c>
      <c r="B23" s="88">
        <f>('Hardware demands'!B22-'Hardware demands'!M14)*'Variable costs'!$E16</f>
        <v>0</v>
      </c>
      <c r="C23" s="88">
        <f>('Hardware demands'!C22-'Hardware demands'!B22)*'Variable costs'!$E16</f>
        <v>0</v>
      </c>
      <c r="D23" s="88">
        <f>('Hardware demands'!D22-'Hardware demands'!C22)*'Variable costs'!$E16</f>
        <v>0</v>
      </c>
      <c r="E23" s="88">
        <f>('Hardware demands'!E22-'Hardware demands'!D22)*'Variable costs'!$E16</f>
        <v>0</v>
      </c>
      <c r="F23" s="88">
        <f>('Hardware demands'!F22-'Hardware demands'!E22)*'Variable costs'!$E16</f>
        <v>0</v>
      </c>
      <c r="G23" s="88">
        <f>('Hardware demands'!G22-'Hardware demands'!F22)*'Variable costs'!$E16</f>
        <v>0</v>
      </c>
      <c r="H23" s="88">
        <f>('Hardware demands'!H22-'Hardware demands'!G22)*'Variable costs'!$E16</f>
        <v>0</v>
      </c>
      <c r="I23" s="88">
        <f>('Hardware demands'!I22-'Hardware demands'!H22)*'Variable costs'!$E16</f>
        <v>0</v>
      </c>
      <c r="J23" s="88">
        <f>('Hardware demands'!J22-'Hardware demands'!I22)*'Variable costs'!$E16</f>
        <v>0</v>
      </c>
      <c r="K23" s="88">
        <f>('Hardware demands'!K22-'Hardware demands'!J22)*'Variable costs'!$E16</f>
        <v>0</v>
      </c>
      <c r="L23" s="88">
        <f>('Hardware demands'!L22-'Hardware demands'!K22)*'Variable costs'!$E16</f>
        <v>0</v>
      </c>
      <c r="M23" s="88">
        <f>('Hardware demands'!M22-'Hardware demands'!L22)*'Variable costs'!$E16</f>
        <v>0</v>
      </c>
    </row>
    <row r="24" spans="1:13" x14ac:dyDescent="0.3">
      <c r="A24" s="87" t="s">
        <v>0</v>
      </c>
      <c r="B24" s="88">
        <f>Expenses!B24</f>
        <v>0</v>
      </c>
      <c r="C24" s="88">
        <f>Expenses!C24</f>
        <v>0</v>
      </c>
      <c r="D24" s="88">
        <f>Expenses!D24</f>
        <v>0</v>
      </c>
      <c r="E24" s="88">
        <f>Expenses!E24</f>
        <v>0</v>
      </c>
      <c r="F24" s="88">
        <f>Expenses!F24</f>
        <v>0</v>
      </c>
      <c r="G24" s="88">
        <f>Expenses!G24</f>
        <v>0</v>
      </c>
      <c r="H24" s="88">
        <f>Expenses!H24</f>
        <v>0</v>
      </c>
      <c r="I24" s="88">
        <f>Expenses!I24</f>
        <v>0</v>
      </c>
      <c r="J24" s="88">
        <f>Expenses!J24</f>
        <v>0</v>
      </c>
      <c r="K24" s="88">
        <f>Expenses!K24</f>
        <v>0</v>
      </c>
      <c r="L24" s="88">
        <f>Expenses!L24</f>
        <v>0</v>
      </c>
      <c r="M24" s="88">
        <f>Expenses!M24</f>
        <v>0</v>
      </c>
    </row>
    <row r="25" spans="1:13" x14ac:dyDescent="0.3">
      <c r="A25" s="85" t="s">
        <v>9</v>
      </c>
      <c r="B25" s="86">
        <f>SUM(B19:B24)+M16</f>
        <v>67000</v>
      </c>
      <c r="C25" s="86">
        <f>SUM(C19:C24)+B25</f>
        <v>77250</v>
      </c>
      <c r="D25" s="86">
        <f t="shared" ref="D25:M25" si="1">SUM(D19:D24)+C25</f>
        <v>84250</v>
      </c>
      <c r="E25" s="86">
        <f t="shared" si="1"/>
        <v>94500</v>
      </c>
      <c r="F25" s="86">
        <f t="shared" si="1"/>
        <v>101500</v>
      </c>
      <c r="G25" s="86">
        <f t="shared" si="1"/>
        <v>110250</v>
      </c>
      <c r="H25" s="86">
        <f t="shared" si="1"/>
        <v>122250</v>
      </c>
      <c r="I25" s="86">
        <f t="shared" si="1"/>
        <v>131000</v>
      </c>
      <c r="J25" s="86">
        <f t="shared" si="1"/>
        <v>139500</v>
      </c>
      <c r="K25" s="86">
        <f t="shared" si="1"/>
        <v>148250</v>
      </c>
      <c r="L25" s="86">
        <f t="shared" si="1"/>
        <v>156750</v>
      </c>
      <c r="M25" s="86">
        <f t="shared" si="1"/>
        <v>165500</v>
      </c>
    </row>
    <row r="27" spans="1:13" ht="46.8" x14ac:dyDescent="0.35">
      <c r="A27" s="83" t="s">
        <v>57</v>
      </c>
      <c r="B27" s="84" t="s">
        <v>40</v>
      </c>
      <c r="C27" s="84" t="s">
        <v>41</v>
      </c>
      <c r="D27" s="84" t="s">
        <v>42</v>
      </c>
      <c r="E27" s="84" t="s">
        <v>43</v>
      </c>
      <c r="F27" s="84" t="s">
        <v>44</v>
      </c>
      <c r="G27" s="84" t="s">
        <v>45</v>
      </c>
      <c r="H27" s="84" t="s">
        <v>46</v>
      </c>
      <c r="I27" s="84" t="s">
        <v>47</v>
      </c>
      <c r="J27" s="84" t="s">
        <v>48</v>
      </c>
      <c r="K27" s="84" t="s">
        <v>49</v>
      </c>
      <c r="L27" s="84" t="s">
        <v>50</v>
      </c>
      <c r="M27" s="84" t="s">
        <v>51</v>
      </c>
    </row>
    <row r="28" spans="1:13" x14ac:dyDescent="0.3">
      <c r="A28" s="87" t="s">
        <v>52</v>
      </c>
      <c r="B28" s="88">
        <f>('Hardware demands'!B25-'Hardware demands'!M18)*'Variable costs'!$E12</f>
        <v>1750</v>
      </c>
      <c r="C28" s="88">
        <f>('Hardware demands'!C25-'Hardware demands'!B25)*'Variable costs'!$E12</f>
        <v>1750</v>
      </c>
      <c r="D28" s="88">
        <f>('Hardware demands'!D25-'Hardware demands'!C25)*'Variable costs'!$E12</f>
        <v>1750</v>
      </c>
      <c r="E28" s="88">
        <f>('Hardware demands'!E25-'Hardware demands'!D25)*'Variable costs'!$E12</f>
        <v>1750</v>
      </c>
      <c r="F28" s="88">
        <f>('Hardware demands'!F25-'Hardware demands'!E25)*'Variable costs'!$E12</f>
        <v>1750</v>
      </c>
      <c r="G28" s="88">
        <f>('Hardware demands'!G25-'Hardware demands'!F25)*'Variable costs'!$E12</f>
        <v>1750</v>
      </c>
      <c r="H28" s="88">
        <f>('Hardware demands'!H25-'Hardware demands'!G25)*'Variable costs'!$E12</f>
        <v>1750</v>
      </c>
      <c r="I28" s="88">
        <f>('Hardware demands'!I25-'Hardware demands'!H25)*'Variable costs'!$E12</f>
        <v>1750</v>
      </c>
      <c r="J28" s="88">
        <f>('Hardware demands'!J25-'Hardware demands'!I25)*'Variable costs'!$E12</f>
        <v>1750</v>
      </c>
      <c r="K28" s="88">
        <f>('Hardware demands'!K25-'Hardware demands'!J25)*'Variable costs'!$E12</f>
        <v>1750</v>
      </c>
      <c r="L28" s="88">
        <f>('Hardware demands'!L25-'Hardware demands'!K25)*'Variable costs'!$E12</f>
        <v>1750</v>
      </c>
      <c r="M28" s="88">
        <f>('Hardware demands'!M25-'Hardware demands'!L25)*'Variable costs'!$E12</f>
        <v>1750</v>
      </c>
    </row>
    <row r="29" spans="1:13" x14ac:dyDescent="0.3">
      <c r="A29" s="87" t="s">
        <v>53</v>
      </c>
      <c r="B29" s="88">
        <f>('Hardware demands'!B26-'Hardware demands'!M19)*'Variable costs'!$E13</f>
        <v>7000</v>
      </c>
      <c r="C29" s="88">
        <f>('Hardware demands'!C26-'Hardware demands'!B26)*'Variable costs'!$E13</f>
        <v>7000</v>
      </c>
      <c r="D29" s="88">
        <f>('Hardware demands'!D26-'Hardware demands'!C26)*'Variable costs'!$E13</f>
        <v>7000</v>
      </c>
      <c r="E29" s="88">
        <f>('Hardware demands'!E26-'Hardware demands'!D26)*'Variable costs'!$E13</f>
        <v>8750</v>
      </c>
      <c r="F29" s="88">
        <f>('Hardware demands'!F26-'Hardware demands'!E26)*'Variable costs'!$E13</f>
        <v>7000</v>
      </c>
      <c r="G29" s="88">
        <f>('Hardware demands'!G26-'Hardware demands'!F26)*'Variable costs'!$E13</f>
        <v>7000</v>
      </c>
      <c r="H29" s="88">
        <f>('Hardware demands'!H26-'Hardware demands'!G26)*'Variable costs'!$E13</f>
        <v>7000</v>
      </c>
      <c r="I29" s="88">
        <f>('Hardware demands'!I26-'Hardware demands'!H26)*'Variable costs'!$E13</f>
        <v>7000</v>
      </c>
      <c r="J29" s="88">
        <f>('Hardware demands'!J26-'Hardware demands'!I26)*'Variable costs'!$E13</f>
        <v>7000</v>
      </c>
      <c r="K29" s="88">
        <f>('Hardware demands'!K26-'Hardware demands'!J26)*'Variable costs'!$E13</f>
        <v>8750</v>
      </c>
      <c r="L29" s="88">
        <f>('Hardware demands'!L26-'Hardware demands'!K26)*'Variable costs'!$E13</f>
        <v>7000</v>
      </c>
      <c r="M29" s="88">
        <f>('Hardware demands'!M26-'Hardware demands'!L26)*'Variable costs'!$E13</f>
        <v>7000</v>
      </c>
    </row>
    <row r="30" spans="1:13" x14ac:dyDescent="0.3">
      <c r="A30" s="87" t="s">
        <v>54</v>
      </c>
      <c r="B30" s="88">
        <f>('Hardware demands'!B27-'Hardware demands'!M20)*'Variable costs'!$E14</f>
        <v>7000</v>
      </c>
      <c r="C30" s="88">
        <f>('Hardware demands'!C27-'Hardware demands'!B27)*'Variable costs'!$E14</f>
        <v>7000</v>
      </c>
      <c r="D30" s="88">
        <f>('Hardware demands'!D27-'Hardware demands'!C27)*'Variable costs'!$E14</f>
        <v>7000</v>
      </c>
      <c r="E30" s="88">
        <f>('Hardware demands'!E27-'Hardware demands'!D27)*'Variable costs'!$E14</f>
        <v>8750</v>
      </c>
      <c r="F30" s="88">
        <f>('Hardware demands'!F27-'Hardware demands'!E27)*'Variable costs'!$E14</f>
        <v>7000</v>
      </c>
      <c r="G30" s="88">
        <f>('Hardware demands'!G27-'Hardware demands'!F27)*'Variable costs'!$E14</f>
        <v>7000</v>
      </c>
      <c r="H30" s="88">
        <f>('Hardware demands'!H27-'Hardware demands'!G27)*'Variable costs'!$E14</f>
        <v>7000</v>
      </c>
      <c r="I30" s="88">
        <f>('Hardware demands'!I27-'Hardware demands'!H27)*'Variable costs'!$E14</f>
        <v>7000</v>
      </c>
      <c r="J30" s="88">
        <f>('Hardware demands'!J27-'Hardware demands'!I27)*'Variable costs'!$E14</f>
        <v>7000</v>
      </c>
      <c r="K30" s="88">
        <f>('Hardware demands'!K27-'Hardware demands'!J27)*'Variable costs'!$E14</f>
        <v>8750</v>
      </c>
      <c r="L30" s="88">
        <f>('Hardware demands'!L27-'Hardware demands'!K27)*'Variable costs'!$E14</f>
        <v>7000</v>
      </c>
      <c r="M30" s="88">
        <f>('Hardware demands'!M27-'Hardware demands'!L27)*'Variable costs'!$E14</f>
        <v>7000</v>
      </c>
    </row>
    <row r="31" spans="1:13" x14ac:dyDescent="0.3">
      <c r="A31" s="87" t="str">
        <f>A22</f>
        <v>Routers</v>
      </c>
      <c r="B31" s="88">
        <f>('Hardware demands'!B28-'Hardware demands'!M21)*'Variable costs'!$E15</f>
        <v>1500</v>
      </c>
      <c r="C31" s="88">
        <f>('Hardware demands'!C28-'Hardware demands'!B28)*'Variable costs'!$E15</f>
        <v>1500</v>
      </c>
      <c r="D31" s="88">
        <f>('Hardware demands'!D28-'Hardware demands'!C28)*'Variable costs'!$E15</f>
        <v>0</v>
      </c>
      <c r="E31" s="88">
        <f>('Hardware demands'!E28-'Hardware demands'!D28)*'Variable costs'!$E15</f>
        <v>1500</v>
      </c>
      <c r="F31" s="88">
        <f>('Hardware demands'!F28-'Hardware demands'!E28)*'Variable costs'!$E15</f>
        <v>1500</v>
      </c>
      <c r="G31" s="88">
        <f>('Hardware demands'!G28-'Hardware demands'!F28)*'Variable costs'!$E15</f>
        <v>1500</v>
      </c>
      <c r="H31" s="88">
        <f>('Hardware demands'!H28-'Hardware demands'!G28)*'Variable costs'!$E15</f>
        <v>1500</v>
      </c>
      <c r="I31" s="88">
        <f>('Hardware demands'!I28-'Hardware demands'!H28)*'Variable costs'!$E15</f>
        <v>1500</v>
      </c>
      <c r="J31" s="88">
        <f>('Hardware demands'!J28-'Hardware demands'!I28)*'Variable costs'!$E15</f>
        <v>0</v>
      </c>
      <c r="K31" s="88">
        <f>('Hardware demands'!K28-'Hardware demands'!J28)*'Variable costs'!$E15</f>
        <v>1500</v>
      </c>
      <c r="L31" s="88">
        <f>('Hardware demands'!L28-'Hardware demands'!K28)*'Variable costs'!$E15</f>
        <v>1500</v>
      </c>
      <c r="M31" s="88">
        <f>('Hardware demands'!M28-'Hardware demands'!L28)*'Variable costs'!$E15</f>
        <v>1500</v>
      </c>
    </row>
    <row r="32" spans="1:13" x14ac:dyDescent="0.3">
      <c r="A32" s="87" t="str">
        <f>A23</f>
        <v>Switches</v>
      </c>
      <c r="B32" s="88">
        <f>('Hardware demands'!B29-'Hardware demands'!M22)*'Variable costs'!$E16</f>
        <v>0</v>
      </c>
      <c r="C32" s="88">
        <f>('Hardware demands'!C29-'Hardware demands'!B29)*'Variable costs'!$E16</f>
        <v>0</v>
      </c>
      <c r="D32" s="88">
        <f>('Hardware demands'!D29-'Hardware demands'!C29)*'Variable costs'!$E16</f>
        <v>0</v>
      </c>
      <c r="E32" s="88">
        <f>('Hardware demands'!E29-'Hardware demands'!D29)*'Variable costs'!$E16</f>
        <v>0</v>
      </c>
      <c r="F32" s="88">
        <f>('Hardware demands'!F29-'Hardware demands'!E29)*'Variable costs'!$E16</f>
        <v>0</v>
      </c>
      <c r="G32" s="88">
        <f>('Hardware demands'!G29-'Hardware demands'!F29)*'Variable costs'!$E16</f>
        <v>0</v>
      </c>
      <c r="H32" s="88">
        <f>('Hardware demands'!H29-'Hardware demands'!G29)*'Variable costs'!$E16</f>
        <v>0</v>
      </c>
      <c r="I32" s="88">
        <f>('Hardware demands'!I29-'Hardware demands'!H29)*'Variable costs'!$E16</f>
        <v>0</v>
      </c>
      <c r="J32" s="88">
        <f>('Hardware demands'!J29-'Hardware demands'!I29)*'Variable costs'!$E16</f>
        <v>0</v>
      </c>
      <c r="K32" s="88">
        <f>('Hardware demands'!K29-'Hardware demands'!J29)*'Variable costs'!$E16</f>
        <v>0</v>
      </c>
      <c r="L32" s="88">
        <f>('Hardware demands'!L29-'Hardware demands'!K29)*'Variable costs'!$E16</f>
        <v>0</v>
      </c>
      <c r="M32" s="88">
        <f>('Hardware demands'!M29-'Hardware demands'!L29)*'Variable costs'!$E16</f>
        <v>0</v>
      </c>
    </row>
    <row r="33" spans="1:13" x14ac:dyDescent="0.3">
      <c r="A33" s="87" t="s">
        <v>0</v>
      </c>
      <c r="B33" s="88">
        <f>Expenses!B33</f>
        <v>0</v>
      </c>
      <c r="C33" s="88">
        <f>Expenses!C33</f>
        <v>0</v>
      </c>
      <c r="D33" s="88">
        <f>Expenses!D33</f>
        <v>0</v>
      </c>
      <c r="E33" s="88">
        <f>Expenses!E33</f>
        <v>0</v>
      </c>
      <c r="F33" s="88">
        <f>Expenses!F33</f>
        <v>0</v>
      </c>
      <c r="G33" s="88">
        <f>Expenses!G33</f>
        <v>0</v>
      </c>
      <c r="H33" s="88">
        <f>Expenses!H33</f>
        <v>0</v>
      </c>
      <c r="I33" s="88">
        <f>Expenses!I33</f>
        <v>0</v>
      </c>
      <c r="J33" s="88">
        <f>Expenses!J33</f>
        <v>0</v>
      </c>
      <c r="K33" s="88">
        <f>Expenses!K33</f>
        <v>0</v>
      </c>
      <c r="L33" s="88">
        <f>Expenses!L33</f>
        <v>0</v>
      </c>
      <c r="M33" s="88">
        <f>Expenses!M33</f>
        <v>0</v>
      </c>
    </row>
    <row r="34" spans="1:13" x14ac:dyDescent="0.3">
      <c r="A34" s="85" t="s">
        <v>9</v>
      </c>
      <c r="B34" s="86">
        <f>SUM(B28:B33)+M25</f>
        <v>182750</v>
      </c>
      <c r="C34" s="86">
        <f>SUM(C28:C33)+B34</f>
        <v>200000</v>
      </c>
      <c r="D34" s="86">
        <f t="shared" ref="D34:M34" si="2">SUM(D28:D33)+C34</f>
        <v>215750</v>
      </c>
      <c r="E34" s="86">
        <f t="shared" si="2"/>
        <v>236500</v>
      </c>
      <c r="F34" s="86">
        <f t="shared" si="2"/>
        <v>253750</v>
      </c>
      <c r="G34" s="86">
        <f t="shared" si="2"/>
        <v>271000</v>
      </c>
      <c r="H34" s="86">
        <f t="shared" si="2"/>
        <v>288250</v>
      </c>
      <c r="I34" s="86">
        <f t="shared" si="2"/>
        <v>305500</v>
      </c>
      <c r="J34" s="86">
        <f t="shared" si="2"/>
        <v>321250</v>
      </c>
      <c r="K34" s="86">
        <f t="shared" si="2"/>
        <v>342000</v>
      </c>
      <c r="L34" s="86">
        <f t="shared" si="2"/>
        <v>359250</v>
      </c>
      <c r="M34" s="86">
        <f t="shared" si="2"/>
        <v>376500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M34"/>
  <sheetViews>
    <sheetView topLeftCell="A13" workbookViewId="0">
      <selection activeCell="M32" sqref="M32"/>
    </sheetView>
  </sheetViews>
  <sheetFormatPr defaultRowHeight="14.4" x14ac:dyDescent="0.3"/>
  <cols>
    <col min="1" max="1" width="13.109375" customWidth="1"/>
    <col min="2" max="13" width="11.88671875" customWidth="1"/>
  </cols>
  <sheetData>
    <row r="1" spans="1:13" ht="21" x14ac:dyDescent="0.35">
      <c r="A1" s="2" t="s">
        <v>9</v>
      </c>
    </row>
    <row r="8" spans="1:13" ht="18.75" x14ac:dyDescent="0.3">
      <c r="A8" s="1"/>
    </row>
    <row r="9" spans="1:13" ht="49.5" x14ac:dyDescent="0.3">
      <c r="A9" s="41" t="s">
        <v>55</v>
      </c>
      <c r="B9" s="42" t="s">
        <v>40</v>
      </c>
      <c r="C9" s="42" t="s">
        <v>41</v>
      </c>
      <c r="D9" s="42" t="s">
        <v>42</v>
      </c>
      <c r="E9" s="42" t="s">
        <v>43</v>
      </c>
      <c r="F9" s="42" t="s">
        <v>44</v>
      </c>
      <c r="G9" s="42" t="s">
        <v>45</v>
      </c>
      <c r="H9" s="42" t="s">
        <v>46</v>
      </c>
      <c r="I9" s="42" t="s">
        <v>47</v>
      </c>
      <c r="J9" s="42" t="s">
        <v>48</v>
      </c>
      <c r="K9" s="42" t="s">
        <v>49</v>
      </c>
      <c r="L9" s="42" t="s">
        <v>50</v>
      </c>
      <c r="M9" s="42" t="s">
        <v>51</v>
      </c>
    </row>
    <row r="10" spans="1:13" ht="15" x14ac:dyDescent="0.25">
      <c r="A10" s="43" t="s">
        <v>52</v>
      </c>
      <c r="B10" s="45">
        <f>('Hardware demands'!B10)*'Variable costs'!$I12</f>
        <v>0.24305555555555555</v>
      </c>
      <c r="C10" s="45">
        <f>('Hardware demands'!C10)*'Variable costs'!$I12</f>
        <v>0.24305555555555555</v>
      </c>
      <c r="D10" s="45">
        <f>('Hardware demands'!D10)*'Variable costs'!$I12</f>
        <v>0.24305555555555555</v>
      </c>
      <c r="E10" s="45">
        <f>('Hardware demands'!E10)*'Variable costs'!$I12</f>
        <v>0.4861111111111111</v>
      </c>
      <c r="F10" s="45">
        <f>('Hardware demands'!F10)*'Variable costs'!$I12</f>
        <v>0.4861111111111111</v>
      </c>
      <c r="G10" s="45">
        <f>('Hardware demands'!G10)*'Variable costs'!$I12</f>
        <v>0.4861111111111111</v>
      </c>
      <c r="H10" s="45">
        <f>('Hardware demands'!H10)*'Variable costs'!$I12</f>
        <v>0.4861111111111111</v>
      </c>
      <c r="I10" s="45">
        <f>('Hardware demands'!I10)*'Variable costs'!$I12</f>
        <v>0.72916666666666663</v>
      </c>
      <c r="J10" s="45">
        <f>('Hardware demands'!J10)*'Variable costs'!$I12</f>
        <v>0.72916666666666663</v>
      </c>
      <c r="K10" s="45">
        <f>('Hardware demands'!K10)*'Variable costs'!$I12</f>
        <v>0.72916666666666663</v>
      </c>
      <c r="L10" s="45">
        <f>('Hardware demands'!L10)*'Variable costs'!$I12</f>
        <v>0.72916666666666663</v>
      </c>
      <c r="M10" s="45">
        <f>('Hardware demands'!M10)*'Variable costs'!$I12</f>
        <v>0.97222222222222221</v>
      </c>
    </row>
    <row r="11" spans="1:13" ht="15" x14ac:dyDescent="0.25">
      <c r="A11" s="43" t="s">
        <v>53</v>
      </c>
      <c r="B11" s="45">
        <f>('Hardware demands'!B11)*'Variable costs'!$I13</f>
        <v>0.97222222222222221</v>
      </c>
      <c r="C11" s="45">
        <f>('Hardware demands'!C11)*'Variable costs'!$I13</f>
        <v>1.4583333333333333</v>
      </c>
      <c r="D11" s="45">
        <f>('Hardware demands'!D11)*'Variable costs'!$I13</f>
        <v>1.9444444444444444</v>
      </c>
      <c r="E11" s="45">
        <f>('Hardware demands'!E11)*'Variable costs'!$I13</f>
        <v>2.4305555555555554</v>
      </c>
      <c r="F11" s="45">
        <f>('Hardware demands'!F11)*'Variable costs'!$I13</f>
        <v>2.9166666666666665</v>
      </c>
      <c r="G11" s="45">
        <f>('Hardware demands'!G11)*'Variable costs'!$I13</f>
        <v>3.4027777777777777</v>
      </c>
      <c r="H11" s="45">
        <f>('Hardware demands'!H11)*'Variable costs'!$I13</f>
        <v>3.8888888888888888</v>
      </c>
      <c r="I11" s="45">
        <f>('Hardware demands'!I11)*'Variable costs'!$I13</f>
        <v>4.375</v>
      </c>
      <c r="J11" s="45">
        <f>('Hardware demands'!J11)*'Variable costs'!$I13</f>
        <v>4.8611111111111107</v>
      </c>
      <c r="K11" s="45">
        <f>('Hardware demands'!K11)*'Variable costs'!$I13</f>
        <v>5.3472222222222223</v>
      </c>
      <c r="L11" s="45">
        <f>('Hardware demands'!L11)*'Variable costs'!$I13</f>
        <v>5.833333333333333</v>
      </c>
      <c r="M11" s="45">
        <f>('Hardware demands'!M11)*'Variable costs'!$I13</f>
        <v>6.3194444444444446</v>
      </c>
    </row>
    <row r="12" spans="1:13" ht="15" x14ac:dyDescent="0.25">
      <c r="A12" s="43" t="s">
        <v>54</v>
      </c>
      <c r="B12" s="45">
        <f>('Hardware demands'!B12)*'Variable costs'!$I14</f>
        <v>1.9444444444444444</v>
      </c>
      <c r="C12" s="45">
        <f>('Hardware demands'!C12)*'Variable costs'!$I14</f>
        <v>2.9166666666666665</v>
      </c>
      <c r="D12" s="45">
        <f>('Hardware demands'!D12)*'Variable costs'!$I14</f>
        <v>3.8888888888888888</v>
      </c>
      <c r="E12" s="45">
        <f>('Hardware demands'!E12)*'Variable costs'!$I14</f>
        <v>4.8611111111111107</v>
      </c>
      <c r="F12" s="45">
        <f>('Hardware demands'!F12)*'Variable costs'!$I14</f>
        <v>5.833333333333333</v>
      </c>
      <c r="G12" s="45">
        <f>('Hardware demands'!G12)*'Variable costs'!$I14</f>
        <v>6.8055555555555554</v>
      </c>
      <c r="H12" s="45">
        <f>('Hardware demands'!H12)*'Variable costs'!$I14</f>
        <v>7.7777777777777777</v>
      </c>
      <c r="I12" s="45">
        <f>('Hardware demands'!I12)*'Variable costs'!$I14</f>
        <v>8.75</v>
      </c>
      <c r="J12" s="45">
        <f>('Hardware demands'!J12)*'Variable costs'!$I14</f>
        <v>9.7222222222222214</v>
      </c>
      <c r="K12" s="45">
        <f>('Hardware demands'!K12)*'Variable costs'!$I14</f>
        <v>10.694444444444445</v>
      </c>
      <c r="L12" s="45">
        <f>('Hardware demands'!L12)*'Variable costs'!$I14</f>
        <v>11.666666666666666</v>
      </c>
      <c r="M12" s="45">
        <f>('Hardware demands'!M12)*'Variable costs'!$I14</f>
        <v>12.638888888888889</v>
      </c>
    </row>
    <row r="13" spans="1:13" ht="15" x14ac:dyDescent="0.25">
      <c r="A13" s="43" t="s">
        <v>76</v>
      </c>
      <c r="B13" s="45">
        <f>('Hardware demands'!B13)*'Variable costs'!$I15</f>
        <v>8.3333333333333329E-2</v>
      </c>
      <c r="C13" s="45">
        <f>('Hardware demands'!C13)*'Variable costs'!$I15</f>
        <v>4.1666666666666664E-2</v>
      </c>
      <c r="D13" s="45">
        <f>('Hardware demands'!D13)*'Variable costs'!$I15</f>
        <v>4.1666666666666664E-2</v>
      </c>
      <c r="E13" s="45">
        <f>('Hardware demands'!E13)*'Variable costs'!$I15</f>
        <v>4.1666666666666664E-2</v>
      </c>
      <c r="F13" s="45">
        <f>('Hardware demands'!F13)*'Variable costs'!$I15</f>
        <v>8.3333333333333329E-2</v>
      </c>
      <c r="G13" s="45">
        <f>('Hardware demands'!G13)*'Variable costs'!$I15</f>
        <v>8.3333333333333329E-2</v>
      </c>
      <c r="H13" s="45">
        <f>('Hardware demands'!H13)*'Variable costs'!$I15</f>
        <v>8.3333333333333329E-2</v>
      </c>
      <c r="I13" s="45">
        <f>('Hardware demands'!I13)*'Variable costs'!$I15</f>
        <v>8.3333333333333329E-2</v>
      </c>
      <c r="J13" s="45">
        <f>('Hardware demands'!J13)*'Variable costs'!$I15</f>
        <v>8.3333333333333329E-2</v>
      </c>
      <c r="K13" s="45">
        <f>('Hardware demands'!K13)*'Variable costs'!$I15</f>
        <v>0.125</v>
      </c>
      <c r="L13" s="45">
        <f>('Hardware demands'!L13)*'Variable costs'!$I15</f>
        <v>0.125</v>
      </c>
      <c r="M13" s="45">
        <f>('Hardware demands'!M13)*'Variable costs'!$I15</f>
        <v>0.125</v>
      </c>
    </row>
    <row r="14" spans="1:13" ht="15" x14ac:dyDescent="0.25">
      <c r="A14" s="43" t="s">
        <v>77</v>
      </c>
      <c r="B14" s="45">
        <f>('Hardware demands'!B14)*'Variable costs'!$I16</f>
        <v>9.2592592592592596E-4</v>
      </c>
      <c r="C14" s="45">
        <f>('Hardware demands'!C14)*'Variable costs'!$I16</f>
        <v>9.2592592592592596E-4</v>
      </c>
      <c r="D14" s="45">
        <f>('Hardware demands'!D14)*'Variable costs'!$I16</f>
        <v>9.2592592592592596E-4</v>
      </c>
      <c r="E14" s="45">
        <f>('Hardware demands'!E14)*'Variable costs'!$I16</f>
        <v>9.2592592592592596E-4</v>
      </c>
      <c r="F14" s="45">
        <f>('Hardware demands'!F14)*'Variable costs'!$I16</f>
        <v>9.2592592592592596E-4</v>
      </c>
      <c r="G14" s="45">
        <f>('Hardware demands'!G14)*'Variable costs'!$I16</f>
        <v>9.2592592592592596E-4</v>
      </c>
      <c r="H14" s="45">
        <f>('Hardware demands'!H14)*'Variable costs'!$I16</f>
        <v>9.2592592592592596E-4</v>
      </c>
      <c r="I14" s="45">
        <f>('Hardware demands'!I14)*'Variable costs'!$I16</f>
        <v>9.2592592592592596E-4</v>
      </c>
      <c r="J14" s="45">
        <f>('Hardware demands'!J14)*'Variable costs'!$I16</f>
        <v>9.2592592592592596E-4</v>
      </c>
      <c r="K14" s="45">
        <f>('Hardware demands'!K14)*'Variable costs'!$I16</f>
        <v>9.2592592592592596E-4</v>
      </c>
      <c r="L14" s="45">
        <f>('Hardware demands'!L14)*'Variable costs'!$I16</f>
        <v>9.2592592592592596E-4</v>
      </c>
      <c r="M14" s="45">
        <f>('Hardware demands'!M14)*'Variable costs'!$I16</f>
        <v>9.2592592592592596E-4</v>
      </c>
    </row>
    <row r="15" spans="1:13" ht="15" x14ac:dyDescent="0.25">
      <c r="A15" s="43" t="s">
        <v>0</v>
      </c>
      <c r="B15" s="45">
        <f>'Constant costs'!$B$26</f>
        <v>55.555555555555557</v>
      </c>
      <c r="C15" s="45">
        <f>'Constant costs'!$B$26</f>
        <v>55.555555555555557</v>
      </c>
      <c r="D15" s="45">
        <f>'Constant costs'!$B$26</f>
        <v>55.555555555555557</v>
      </c>
      <c r="E15" s="45">
        <f>'Constant costs'!$B$26</f>
        <v>55.555555555555557</v>
      </c>
      <c r="F15" s="45">
        <f>'Constant costs'!$B$26</f>
        <v>55.555555555555557</v>
      </c>
      <c r="G15" s="45">
        <f>'Constant costs'!$B$26</f>
        <v>55.555555555555557</v>
      </c>
      <c r="H15" s="45">
        <f>'Constant costs'!$B$26</f>
        <v>55.555555555555557</v>
      </c>
      <c r="I15" s="45">
        <f>'Constant costs'!$B$26</f>
        <v>55.555555555555557</v>
      </c>
      <c r="J15" s="45">
        <f>'Constant costs'!$B$26</f>
        <v>55.555555555555557</v>
      </c>
      <c r="K15" s="45">
        <f>'Constant costs'!$B$26</f>
        <v>55.555555555555557</v>
      </c>
      <c r="L15" s="45">
        <f>'Constant costs'!$B$26</f>
        <v>55.555555555555557</v>
      </c>
      <c r="M15" s="45">
        <f>'Constant costs'!$B$26</f>
        <v>55.555555555555557</v>
      </c>
    </row>
    <row r="16" spans="1:13" ht="15" x14ac:dyDescent="0.25">
      <c r="A16" s="44" t="s">
        <v>9</v>
      </c>
      <c r="B16" s="46">
        <f>SUM(B10:B15)</f>
        <v>58.799537037037041</v>
      </c>
      <c r="C16" s="46">
        <f t="shared" ref="C16:M16" si="0">SUM(C10:C15)</f>
        <v>60.216203703703705</v>
      </c>
      <c r="D16" s="46">
        <f t="shared" si="0"/>
        <v>61.674537037037041</v>
      </c>
      <c r="E16" s="46">
        <f t="shared" si="0"/>
        <v>63.375925925925927</v>
      </c>
      <c r="F16" s="46">
        <f t="shared" si="0"/>
        <v>64.875925925925927</v>
      </c>
      <c r="G16" s="46">
        <f t="shared" si="0"/>
        <v>66.334259259259255</v>
      </c>
      <c r="H16" s="46">
        <f t="shared" si="0"/>
        <v>67.792592592592598</v>
      </c>
      <c r="I16" s="46">
        <f t="shared" si="0"/>
        <v>69.493981481481484</v>
      </c>
      <c r="J16" s="46">
        <f t="shared" si="0"/>
        <v>70.952314814814812</v>
      </c>
      <c r="K16" s="46">
        <f t="shared" si="0"/>
        <v>72.452314814814827</v>
      </c>
      <c r="L16" s="46">
        <f t="shared" si="0"/>
        <v>73.910648148148141</v>
      </c>
      <c r="M16" s="46">
        <f t="shared" si="0"/>
        <v>75.612037037037041</v>
      </c>
    </row>
    <row r="18" spans="1:13" ht="49.5" x14ac:dyDescent="0.3">
      <c r="A18" s="41" t="s">
        <v>56</v>
      </c>
      <c r="B18" s="42" t="s">
        <v>40</v>
      </c>
      <c r="C18" s="42" t="s">
        <v>41</v>
      </c>
      <c r="D18" s="42" t="s">
        <v>42</v>
      </c>
      <c r="E18" s="42" t="s">
        <v>43</v>
      </c>
      <c r="F18" s="42" t="s">
        <v>44</v>
      </c>
      <c r="G18" s="42" t="s">
        <v>45</v>
      </c>
      <c r="H18" s="42" t="s">
        <v>46</v>
      </c>
      <c r="I18" s="42" t="s">
        <v>47</v>
      </c>
      <c r="J18" s="42" t="s">
        <v>48</v>
      </c>
      <c r="K18" s="42" t="s">
        <v>49</v>
      </c>
      <c r="L18" s="42" t="s">
        <v>50</v>
      </c>
      <c r="M18" s="42" t="s">
        <v>51</v>
      </c>
    </row>
    <row r="19" spans="1:13" ht="15" x14ac:dyDescent="0.25">
      <c r="A19" s="43" t="s">
        <v>52</v>
      </c>
      <c r="B19" s="45">
        <f>'Hardware demands'!B18*'Variable costs'!$I12</f>
        <v>0.97222222222222221</v>
      </c>
      <c r="C19" s="45">
        <f>'Hardware demands'!C18*'Variable costs'!$I12</f>
        <v>1.2152777777777777</v>
      </c>
      <c r="D19" s="45">
        <f>'Hardware demands'!D18*'Variable costs'!$I12</f>
        <v>1.2152777777777777</v>
      </c>
      <c r="E19" s="45">
        <f>'Hardware demands'!E18*'Variable costs'!$I12</f>
        <v>1.4583333333333333</v>
      </c>
      <c r="F19" s="45">
        <f>'Hardware demands'!F18*'Variable costs'!$I12</f>
        <v>1.4583333333333333</v>
      </c>
      <c r="G19" s="45">
        <f>'Hardware demands'!G18*'Variable costs'!$I12</f>
        <v>1.7013888888888888</v>
      </c>
      <c r="H19" s="45">
        <f>'Hardware demands'!H18*'Variable costs'!$I12</f>
        <v>1.7013888888888888</v>
      </c>
      <c r="I19" s="45">
        <f>'Hardware demands'!I18*'Variable costs'!$I12</f>
        <v>1.9444444444444444</v>
      </c>
      <c r="J19" s="45">
        <f>'Hardware demands'!J18*'Variable costs'!$I12</f>
        <v>1.9444444444444444</v>
      </c>
      <c r="K19" s="45">
        <f>'Hardware demands'!K18*'Variable costs'!$I12</f>
        <v>2.1875</v>
      </c>
      <c r="L19" s="45">
        <f>'Hardware demands'!L18*'Variable costs'!$I12</f>
        <v>2.1875</v>
      </c>
      <c r="M19" s="45">
        <f>'Hardware demands'!M18*'Variable costs'!$I12</f>
        <v>2.4305555555555554</v>
      </c>
    </row>
    <row r="20" spans="1:13" ht="15" x14ac:dyDescent="0.25">
      <c r="A20" s="43" t="s">
        <v>53</v>
      </c>
      <c r="B20" s="45">
        <f>'Hardware demands'!B19*'Variable costs'!$I13</f>
        <v>7.291666666666667</v>
      </c>
      <c r="C20" s="45">
        <f>'Hardware demands'!C19*'Variable costs'!$I13</f>
        <v>8.2638888888888893</v>
      </c>
      <c r="D20" s="45">
        <f>'Hardware demands'!D19*'Variable costs'!$I13</f>
        <v>9.2361111111111107</v>
      </c>
      <c r="E20" s="45">
        <f>'Hardware demands'!E19*'Variable costs'!$I13</f>
        <v>10.208333333333334</v>
      </c>
      <c r="F20" s="45">
        <f>'Hardware demands'!F19*'Variable costs'!$I13</f>
        <v>11.180555555555555</v>
      </c>
      <c r="G20" s="45">
        <f>'Hardware demands'!G19*'Variable costs'!$I13</f>
        <v>12.152777777777777</v>
      </c>
      <c r="H20" s="45">
        <f>'Hardware demands'!H19*'Variable costs'!$I13</f>
        <v>13.611111111111111</v>
      </c>
      <c r="I20" s="45">
        <f>'Hardware demands'!I19*'Variable costs'!$I13</f>
        <v>14.583333333333334</v>
      </c>
      <c r="J20" s="45">
        <f>'Hardware demands'!J19*'Variable costs'!$I13</f>
        <v>15.555555555555555</v>
      </c>
      <c r="K20" s="45">
        <f>'Hardware demands'!K19*'Variable costs'!$I13</f>
        <v>16.527777777777779</v>
      </c>
      <c r="L20" s="45">
        <f>'Hardware demands'!L19*'Variable costs'!$I13</f>
        <v>17.5</v>
      </c>
      <c r="M20" s="45">
        <f>'Hardware demands'!M19*'Variable costs'!$I13</f>
        <v>18.472222222222221</v>
      </c>
    </row>
    <row r="21" spans="1:13" ht="15" x14ac:dyDescent="0.25">
      <c r="A21" s="43" t="s">
        <v>54</v>
      </c>
      <c r="B21" s="45">
        <f>'Hardware demands'!B20*'Variable costs'!$I14</f>
        <v>14.583333333333334</v>
      </c>
      <c r="C21" s="45">
        <f>'Hardware demands'!C20*'Variable costs'!$I14</f>
        <v>16.527777777777779</v>
      </c>
      <c r="D21" s="45">
        <f>'Hardware demands'!D20*'Variable costs'!$I14</f>
        <v>18.472222222222221</v>
      </c>
      <c r="E21" s="45">
        <f>'Hardware demands'!E20*'Variable costs'!$I14</f>
        <v>20.416666666666668</v>
      </c>
      <c r="F21" s="45">
        <f>'Hardware demands'!F20*'Variable costs'!$I14</f>
        <v>22.361111111111111</v>
      </c>
      <c r="G21" s="45">
        <f>'Hardware demands'!G20*'Variable costs'!$I14</f>
        <v>24.305555555555554</v>
      </c>
      <c r="H21" s="45">
        <f>'Hardware demands'!H20*'Variable costs'!$I14</f>
        <v>27.222222222222221</v>
      </c>
      <c r="I21" s="45">
        <f>'Hardware demands'!I20*'Variable costs'!$I14</f>
        <v>29.166666666666668</v>
      </c>
      <c r="J21" s="45">
        <f>'Hardware demands'!J20*'Variable costs'!$I14</f>
        <v>31.111111111111111</v>
      </c>
      <c r="K21" s="45">
        <f>'Hardware demands'!K20*'Variable costs'!$I14</f>
        <v>33.055555555555557</v>
      </c>
      <c r="L21" s="45">
        <f>'Hardware demands'!L20*'Variable costs'!$I14</f>
        <v>35</v>
      </c>
      <c r="M21" s="45">
        <f>'Hardware demands'!M20*'Variable costs'!$I14</f>
        <v>36.944444444444443</v>
      </c>
    </row>
    <row r="22" spans="1:13" ht="15" x14ac:dyDescent="0.25">
      <c r="A22" s="43" t="str">
        <f>A13</f>
        <v>Routers</v>
      </c>
      <c r="B22" s="45">
        <f>'Hardware demands'!B21*'Variable costs'!$I15</f>
        <v>0.125</v>
      </c>
      <c r="C22" s="45">
        <f>'Hardware demands'!C21*'Variable costs'!$I15</f>
        <v>0.16666666666666666</v>
      </c>
      <c r="D22" s="45">
        <f>'Hardware demands'!D21*'Variable costs'!$I15</f>
        <v>0.16666666666666666</v>
      </c>
      <c r="E22" s="45">
        <f>'Hardware demands'!E21*'Variable costs'!$I15</f>
        <v>0.20833333333333331</v>
      </c>
      <c r="F22" s="45">
        <f>'Hardware demands'!F21*'Variable costs'!$I15</f>
        <v>0.20833333333333331</v>
      </c>
      <c r="G22" s="45">
        <f>'Hardware demands'!G21*'Variable costs'!$I15</f>
        <v>0.20833333333333331</v>
      </c>
      <c r="H22" s="45">
        <f>'Hardware demands'!H21*'Variable costs'!$I15</f>
        <v>0.25</v>
      </c>
      <c r="I22" s="45">
        <f>'Hardware demands'!I21*'Variable costs'!$I15</f>
        <v>0.25</v>
      </c>
      <c r="J22" s="45">
        <f>'Hardware demands'!J21*'Variable costs'!$I15</f>
        <v>0.29166666666666663</v>
      </c>
      <c r="K22" s="45">
        <f>'Hardware demands'!K21*'Variable costs'!$I15</f>
        <v>0.29166666666666663</v>
      </c>
      <c r="L22" s="45">
        <f>'Hardware demands'!L21*'Variable costs'!$I15</f>
        <v>0.33333333333333331</v>
      </c>
      <c r="M22" s="45">
        <f>'Hardware demands'!M21*'Variable costs'!$I15</f>
        <v>0.33333333333333331</v>
      </c>
    </row>
    <row r="23" spans="1:13" ht="15" x14ac:dyDescent="0.25">
      <c r="A23" s="43" t="str">
        <f>A14</f>
        <v>Switches</v>
      </c>
      <c r="B23" s="45">
        <f>'Hardware demands'!B22*'Variable costs'!$I16</f>
        <v>9.2592592592592596E-4</v>
      </c>
      <c r="C23" s="45">
        <f>'Hardware demands'!C22*'Variable costs'!$I16</f>
        <v>9.2592592592592596E-4</v>
      </c>
      <c r="D23" s="45">
        <f>'Hardware demands'!D22*'Variable costs'!$I16</f>
        <v>9.2592592592592596E-4</v>
      </c>
      <c r="E23" s="45">
        <f>'Hardware demands'!E22*'Variable costs'!$I16</f>
        <v>9.2592592592592596E-4</v>
      </c>
      <c r="F23" s="45">
        <f>'Hardware demands'!F22*'Variable costs'!$I16</f>
        <v>9.2592592592592596E-4</v>
      </c>
      <c r="G23" s="45">
        <f>'Hardware demands'!G22*'Variable costs'!$I16</f>
        <v>9.2592592592592596E-4</v>
      </c>
      <c r="H23" s="45">
        <f>'Hardware demands'!H22*'Variable costs'!$I16</f>
        <v>9.2592592592592596E-4</v>
      </c>
      <c r="I23" s="45">
        <f>'Hardware demands'!I22*'Variable costs'!$I16</f>
        <v>9.2592592592592596E-4</v>
      </c>
      <c r="J23" s="45">
        <f>'Hardware demands'!J22*'Variable costs'!$I16</f>
        <v>9.2592592592592596E-4</v>
      </c>
      <c r="K23" s="45">
        <f>'Hardware demands'!K22*'Variable costs'!$I16</f>
        <v>9.2592592592592596E-4</v>
      </c>
      <c r="L23" s="45">
        <f>'Hardware demands'!L22*'Variable costs'!$I16</f>
        <v>9.2592592592592596E-4</v>
      </c>
      <c r="M23" s="45">
        <f>'Hardware demands'!M22*'Variable costs'!$I16</f>
        <v>9.2592592592592596E-4</v>
      </c>
    </row>
    <row r="24" spans="1:13" ht="15" x14ac:dyDescent="0.25">
      <c r="A24" s="43" t="s">
        <v>0</v>
      </c>
      <c r="B24" s="45">
        <f>'Constant costs'!$B$26</f>
        <v>55.555555555555557</v>
      </c>
      <c r="C24" s="45">
        <f>'Constant costs'!$B$26</f>
        <v>55.555555555555557</v>
      </c>
      <c r="D24" s="45">
        <f>'Constant costs'!$B$26</f>
        <v>55.555555555555557</v>
      </c>
      <c r="E24" s="45">
        <f>'Constant costs'!$B$26</f>
        <v>55.555555555555557</v>
      </c>
      <c r="F24" s="45">
        <f>'Constant costs'!$B$26</f>
        <v>55.555555555555557</v>
      </c>
      <c r="G24" s="45">
        <f>'Constant costs'!$B$26</f>
        <v>55.555555555555557</v>
      </c>
      <c r="H24" s="45">
        <f>'Constant costs'!$B$26</f>
        <v>55.555555555555557</v>
      </c>
      <c r="I24" s="45">
        <f>'Constant costs'!$B$26</f>
        <v>55.555555555555557</v>
      </c>
      <c r="J24" s="45">
        <f>'Constant costs'!$B$26</f>
        <v>55.555555555555557</v>
      </c>
      <c r="K24" s="45">
        <f>'Constant costs'!$B$26</f>
        <v>55.555555555555557</v>
      </c>
      <c r="L24" s="45">
        <f>'Constant costs'!$B$26</f>
        <v>55.555555555555557</v>
      </c>
      <c r="M24" s="45">
        <f>'Constant costs'!$B$26</f>
        <v>55.555555555555557</v>
      </c>
    </row>
    <row r="25" spans="1:13" ht="15" x14ac:dyDescent="0.25">
      <c r="A25" s="44" t="s">
        <v>9</v>
      </c>
      <c r="B25" s="46">
        <f t="shared" ref="B25:C25" si="1">SUM(B19:B24)</f>
        <v>78.528703703703712</v>
      </c>
      <c r="C25" s="46">
        <f t="shared" si="1"/>
        <v>81.730092592592598</v>
      </c>
      <c r="D25" s="46">
        <f t="shared" ref="D25" si="2">SUM(D19:D24)</f>
        <v>84.646759259259255</v>
      </c>
      <c r="E25" s="46">
        <f t="shared" ref="E25" si="3">SUM(E19:E24)</f>
        <v>87.848148148148155</v>
      </c>
      <c r="F25" s="46">
        <f t="shared" ref="F25" si="4">SUM(F19:F24)</f>
        <v>90.764814814814827</v>
      </c>
      <c r="G25" s="46">
        <f t="shared" ref="G25" si="5">SUM(G19:G24)</f>
        <v>93.924537037037041</v>
      </c>
      <c r="H25" s="46">
        <f t="shared" ref="H25" si="6">SUM(H19:H24)</f>
        <v>98.341203703703712</v>
      </c>
      <c r="I25" s="46">
        <f t="shared" ref="I25" si="7">SUM(I19:I24)</f>
        <v>101.50092592592593</v>
      </c>
      <c r="J25" s="46">
        <f t="shared" ref="J25" si="8">SUM(J19:J24)</f>
        <v>104.45925925925926</v>
      </c>
      <c r="K25" s="46">
        <f t="shared" ref="K25" si="9">SUM(K19:K24)</f>
        <v>107.61898148148148</v>
      </c>
      <c r="L25" s="46">
        <f t="shared" ref="L25" si="10">SUM(L19:L24)</f>
        <v>110.57731481481483</v>
      </c>
      <c r="M25" s="46">
        <f t="shared" ref="M25" si="11">SUM(M19:M24)</f>
        <v>113.73703703703704</v>
      </c>
    </row>
    <row r="27" spans="1:13" ht="49.5" x14ac:dyDescent="0.3">
      <c r="A27" s="41" t="s">
        <v>57</v>
      </c>
      <c r="B27" s="42" t="s">
        <v>40</v>
      </c>
      <c r="C27" s="42" t="s">
        <v>41</v>
      </c>
      <c r="D27" s="42" t="s">
        <v>42</v>
      </c>
      <c r="E27" s="42" t="s">
        <v>43</v>
      </c>
      <c r="F27" s="42" t="s">
        <v>44</v>
      </c>
      <c r="G27" s="42" t="s">
        <v>45</v>
      </c>
      <c r="H27" s="42" t="s">
        <v>46</v>
      </c>
      <c r="I27" s="42" t="s">
        <v>47</v>
      </c>
      <c r="J27" s="42" t="s">
        <v>48</v>
      </c>
      <c r="K27" s="42" t="s">
        <v>49</v>
      </c>
      <c r="L27" s="42" t="s">
        <v>50</v>
      </c>
      <c r="M27" s="42" t="s">
        <v>51</v>
      </c>
    </row>
    <row r="28" spans="1:13" ht="15" x14ac:dyDescent="0.25">
      <c r="A28" s="43" t="s">
        <v>52</v>
      </c>
      <c r="B28" s="45">
        <f>'Hardware demands'!B25*'Variable costs'!$I12</f>
        <v>2.6736111111111112</v>
      </c>
      <c r="C28" s="45">
        <f>'Hardware demands'!C25*'Variable costs'!$I12</f>
        <v>2.9166666666666665</v>
      </c>
      <c r="D28" s="45">
        <f>'Hardware demands'!D25*'Variable costs'!$I12</f>
        <v>3.1597222222222223</v>
      </c>
      <c r="E28" s="45">
        <f>'Hardware demands'!E25*'Variable costs'!$I12</f>
        <v>3.4027777777777777</v>
      </c>
      <c r="F28" s="45">
        <f>'Hardware demands'!F25*'Variable costs'!$I12</f>
        <v>3.6458333333333335</v>
      </c>
      <c r="G28" s="45">
        <f>'Hardware demands'!G25*'Variable costs'!$I12</f>
        <v>3.8888888888888888</v>
      </c>
      <c r="H28" s="45">
        <f>'Hardware demands'!H25*'Variable costs'!$I12</f>
        <v>4.1319444444444446</v>
      </c>
      <c r="I28" s="45">
        <f>'Hardware demands'!I25*'Variable costs'!$I12</f>
        <v>4.375</v>
      </c>
      <c r="J28" s="45">
        <f>'Hardware demands'!J25*'Variable costs'!$I12</f>
        <v>4.6180555555555554</v>
      </c>
      <c r="K28" s="45">
        <f>'Hardware demands'!K25*'Variable costs'!$I12</f>
        <v>4.8611111111111107</v>
      </c>
      <c r="L28" s="45">
        <f>'Hardware demands'!L25*'Variable costs'!$I12</f>
        <v>5.104166666666667</v>
      </c>
      <c r="M28" s="45">
        <f>'Hardware demands'!M25*'Variable costs'!$I12</f>
        <v>5.3472222222222223</v>
      </c>
    </row>
    <row r="29" spans="1:13" ht="15" x14ac:dyDescent="0.25">
      <c r="A29" s="43" t="s">
        <v>53</v>
      </c>
      <c r="B29" s="45">
        <f>'Hardware demands'!B26*'Variable costs'!$I13</f>
        <v>20.416666666666668</v>
      </c>
      <c r="C29" s="45">
        <f>'Hardware demands'!C26*'Variable costs'!$I13</f>
        <v>22.361111111111111</v>
      </c>
      <c r="D29" s="45">
        <f>'Hardware demands'!D26*'Variable costs'!$I13</f>
        <v>24.305555555555554</v>
      </c>
      <c r="E29" s="45">
        <f>'Hardware demands'!E26*'Variable costs'!$I13</f>
        <v>26.736111111111111</v>
      </c>
      <c r="F29" s="45">
        <f>'Hardware demands'!F26*'Variable costs'!$I13</f>
        <v>28.680555555555554</v>
      </c>
      <c r="G29" s="45">
        <f>'Hardware demands'!G26*'Variable costs'!$I13</f>
        <v>30.625</v>
      </c>
      <c r="H29" s="45">
        <f>'Hardware demands'!H26*'Variable costs'!$I13</f>
        <v>32.569444444444443</v>
      </c>
      <c r="I29" s="45">
        <f>'Hardware demands'!I26*'Variable costs'!$I13</f>
        <v>34.513888888888886</v>
      </c>
      <c r="J29" s="45">
        <f>'Hardware demands'!J26*'Variable costs'!$I13</f>
        <v>36.458333333333336</v>
      </c>
      <c r="K29" s="45">
        <f>'Hardware demands'!K26*'Variable costs'!$I13</f>
        <v>38.888888888888886</v>
      </c>
      <c r="L29" s="45">
        <f>'Hardware demands'!L26*'Variable costs'!$I13</f>
        <v>40.833333333333336</v>
      </c>
      <c r="M29" s="45">
        <f>'Hardware demands'!M26*'Variable costs'!$I13</f>
        <v>42.777777777777779</v>
      </c>
    </row>
    <row r="30" spans="1:13" ht="15" x14ac:dyDescent="0.25">
      <c r="A30" s="43" t="s">
        <v>54</v>
      </c>
      <c r="B30" s="45">
        <f>'Hardware demands'!B27*'Variable costs'!$I14</f>
        <v>40.833333333333336</v>
      </c>
      <c r="C30" s="45">
        <f>'Hardware demands'!C27*'Variable costs'!$I14</f>
        <v>44.722222222222221</v>
      </c>
      <c r="D30" s="45">
        <f>'Hardware demands'!D27*'Variable costs'!$I14</f>
        <v>48.611111111111107</v>
      </c>
      <c r="E30" s="45">
        <f>'Hardware demands'!E27*'Variable costs'!$I14</f>
        <v>53.472222222222221</v>
      </c>
      <c r="F30" s="45">
        <f>'Hardware demands'!F27*'Variable costs'!$I14</f>
        <v>57.361111111111107</v>
      </c>
      <c r="G30" s="45">
        <f>'Hardware demands'!G27*'Variable costs'!$I14</f>
        <v>61.25</v>
      </c>
      <c r="H30" s="45">
        <f>'Hardware demands'!H27*'Variable costs'!$I14</f>
        <v>65.138888888888886</v>
      </c>
      <c r="I30" s="45">
        <f>'Hardware demands'!I27*'Variable costs'!$I14</f>
        <v>69.027777777777771</v>
      </c>
      <c r="J30" s="45">
        <f>'Hardware demands'!J27*'Variable costs'!$I14</f>
        <v>72.916666666666671</v>
      </c>
      <c r="K30" s="45">
        <f>'Hardware demands'!K27*'Variable costs'!$I14</f>
        <v>77.777777777777771</v>
      </c>
      <c r="L30" s="45">
        <f>'Hardware demands'!L27*'Variable costs'!$I14</f>
        <v>81.666666666666671</v>
      </c>
      <c r="M30" s="45">
        <f>'Hardware demands'!M27*'Variable costs'!$I14</f>
        <v>85.555555555555557</v>
      </c>
    </row>
    <row r="31" spans="1:13" ht="15" x14ac:dyDescent="0.25">
      <c r="A31" s="43" t="str">
        <f>A22</f>
        <v>Routers</v>
      </c>
      <c r="B31" s="45">
        <f>'Hardware demands'!B28*'Variable costs'!$I15</f>
        <v>0.375</v>
      </c>
      <c r="C31" s="45">
        <f>'Hardware demands'!C28*'Variable costs'!$I15</f>
        <v>0.41666666666666663</v>
      </c>
      <c r="D31" s="45">
        <f>'Hardware demands'!D28*'Variable costs'!$I15</f>
        <v>0.41666666666666663</v>
      </c>
      <c r="E31" s="45">
        <f>'Hardware demands'!E28*'Variable costs'!$I15</f>
        <v>0.45833333333333331</v>
      </c>
      <c r="F31" s="45">
        <f>'Hardware demands'!F28*'Variable costs'!$I15</f>
        <v>0.5</v>
      </c>
      <c r="G31" s="45">
        <f>'Hardware demands'!G28*'Variable costs'!$I15</f>
        <v>0.54166666666666663</v>
      </c>
      <c r="H31" s="45">
        <f>'Hardware demands'!H28*'Variable costs'!$I15</f>
        <v>0.58333333333333326</v>
      </c>
      <c r="I31" s="45">
        <f>'Hardware demands'!I28*'Variable costs'!$I15</f>
        <v>0.625</v>
      </c>
      <c r="J31" s="45">
        <f>'Hardware demands'!J28*'Variable costs'!$I15</f>
        <v>0.625</v>
      </c>
      <c r="K31" s="45">
        <f>'Hardware demands'!K28*'Variable costs'!$I15</f>
        <v>0.66666666666666663</v>
      </c>
      <c r="L31" s="45">
        <f>'Hardware demands'!L28*'Variable costs'!$I15</f>
        <v>0.70833333333333326</v>
      </c>
      <c r="M31" s="45">
        <f>'Hardware demands'!M28*'Variable costs'!$I15</f>
        <v>0.75</v>
      </c>
    </row>
    <row r="32" spans="1:13" ht="15" x14ac:dyDescent="0.25">
      <c r="A32" s="43" t="str">
        <f>A23</f>
        <v>Switches</v>
      </c>
      <c r="B32" s="45">
        <f>'Hardware demands'!B29*'Variable costs'!$I16</f>
        <v>9.2592592592592596E-4</v>
      </c>
      <c r="C32" s="45">
        <f>'Hardware demands'!C29*'Variable costs'!$I16</f>
        <v>9.2592592592592596E-4</v>
      </c>
      <c r="D32" s="45">
        <f>'Hardware demands'!D29*'Variable costs'!$I16</f>
        <v>9.2592592592592596E-4</v>
      </c>
      <c r="E32" s="45">
        <f>'Hardware demands'!E29*'Variable costs'!$I16</f>
        <v>9.2592592592592596E-4</v>
      </c>
      <c r="F32" s="45">
        <f>'Hardware demands'!F29*'Variable costs'!$I16</f>
        <v>9.2592592592592596E-4</v>
      </c>
      <c r="G32" s="45">
        <f>'Hardware demands'!G29*'Variable costs'!$I16</f>
        <v>9.2592592592592596E-4</v>
      </c>
      <c r="H32" s="45">
        <f>'Hardware demands'!H29*'Variable costs'!$I16</f>
        <v>9.2592592592592596E-4</v>
      </c>
      <c r="I32" s="45">
        <f>'Hardware demands'!I29*'Variable costs'!$I16</f>
        <v>9.2592592592592596E-4</v>
      </c>
      <c r="J32" s="45">
        <f>'Hardware demands'!J29*'Variable costs'!$I16</f>
        <v>9.2592592592592596E-4</v>
      </c>
      <c r="K32" s="45">
        <f>'Hardware demands'!K29*'Variable costs'!$I16</f>
        <v>9.2592592592592596E-4</v>
      </c>
      <c r="L32" s="45">
        <f>'Hardware demands'!L29*'Variable costs'!$I16</f>
        <v>9.2592592592592596E-4</v>
      </c>
      <c r="M32" s="45">
        <f>'Hardware demands'!M29*'Variable costs'!$I16</f>
        <v>9.2592592592592596E-4</v>
      </c>
    </row>
    <row r="33" spans="1:13" ht="15" x14ac:dyDescent="0.25">
      <c r="A33" s="43" t="s">
        <v>0</v>
      </c>
      <c r="B33" s="45">
        <f>'Constant costs'!$B$26</f>
        <v>55.555555555555557</v>
      </c>
      <c r="C33" s="45">
        <f>'Constant costs'!$B$26</f>
        <v>55.555555555555557</v>
      </c>
      <c r="D33" s="45">
        <f>'Constant costs'!$B$26</f>
        <v>55.555555555555557</v>
      </c>
      <c r="E33" s="45">
        <f>'Constant costs'!$B$26</f>
        <v>55.555555555555557</v>
      </c>
      <c r="F33" s="45">
        <f>'Constant costs'!$B$26</f>
        <v>55.555555555555557</v>
      </c>
      <c r="G33" s="45">
        <f>'Constant costs'!$B$26</f>
        <v>55.555555555555557</v>
      </c>
      <c r="H33" s="45">
        <f>'Constant costs'!$B$26</f>
        <v>55.555555555555557</v>
      </c>
      <c r="I33" s="45">
        <f>'Constant costs'!$B$26</f>
        <v>55.555555555555557</v>
      </c>
      <c r="J33" s="45">
        <f>'Constant costs'!$B$26</f>
        <v>55.555555555555557</v>
      </c>
      <c r="K33" s="45">
        <f>'Constant costs'!$B$26</f>
        <v>55.555555555555557</v>
      </c>
      <c r="L33" s="45">
        <f>'Constant costs'!$B$26</f>
        <v>55.555555555555557</v>
      </c>
      <c r="M33" s="45">
        <f>'Constant costs'!$B$26</f>
        <v>55.555555555555557</v>
      </c>
    </row>
    <row r="34" spans="1:13" ht="15" x14ac:dyDescent="0.25">
      <c r="A34" s="44" t="s">
        <v>9</v>
      </c>
      <c r="B34" s="46">
        <f>SUM(B28:B33)</f>
        <v>119.8550925925926</v>
      </c>
      <c r="C34" s="46">
        <f t="shared" ref="C34" si="12">SUM(C28:C33)</f>
        <v>125.97314814814816</v>
      </c>
      <c r="D34" s="46">
        <f t="shared" ref="D34" si="13">SUM(D28:D33)</f>
        <v>132.04953703703706</v>
      </c>
      <c r="E34" s="46">
        <f t="shared" ref="E34" si="14">SUM(E28:E33)</f>
        <v>139.62592592592591</v>
      </c>
      <c r="F34" s="46">
        <f t="shared" ref="F34" si="15">SUM(F28:F33)</f>
        <v>145.74398148148148</v>
      </c>
      <c r="G34" s="46">
        <f t="shared" ref="G34" si="16">SUM(G28:G33)</f>
        <v>151.86203703703706</v>
      </c>
      <c r="H34" s="46">
        <f t="shared" ref="H34" si="17">SUM(H28:H33)</f>
        <v>157.9800925925926</v>
      </c>
      <c r="I34" s="46">
        <f t="shared" ref="I34" si="18">SUM(I28:I33)</f>
        <v>164.09814814814814</v>
      </c>
      <c r="J34" s="46">
        <f t="shared" ref="J34" si="19">SUM(J28:J33)</f>
        <v>170.17453703703706</v>
      </c>
      <c r="K34" s="46">
        <f t="shared" ref="K34" si="20">SUM(K28:K33)</f>
        <v>177.75092592592591</v>
      </c>
      <c r="L34" s="46">
        <f t="shared" ref="L34" si="21">SUM(L28:L33)</f>
        <v>183.86898148148146</v>
      </c>
      <c r="M34" s="46">
        <f t="shared" ref="M34" si="22">SUM(M28:M33)</f>
        <v>189.987037037037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E26"/>
  <sheetViews>
    <sheetView workbookViewId="0">
      <selection activeCell="D11" sqref="D11"/>
    </sheetView>
  </sheetViews>
  <sheetFormatPr defaultRowHeight="14.4" x14ac:dyDescent="0.3"/>
  <cols>
    <col min="2" max="2" width="14.109375" bestFit="1" customWidth="1"/>
    <col min="3" max="3" width="30.88671875" customWidth="1"/>
    <col min="4" max="4" width="13.88671875" bestFit="1" customWidth="1"/>
  </cols>
  <sheetData>
    <row r="1" spans="1:5" ht="21" x14ac:dyDescent="0.35">
      <c r="A1" s="2" t="s">
        <v>0</v>
      </c>
    </row>
    <row r="8" spans="1:5" ht="21" x14ac:dyDescent="0.35">
      <c r="A8" s="2" t="s">
        <v>1</v>
      </c>
    </row>
    <row r="9" spans="1:5" ht="15" x14ac:dyDescent="0.25">
      <c r="A9" t="s">
        <v>2</v>
      </c>
      <c r="B9" t="s">
        <v>6</v>
      </c>
      <c r="C9" t="s">
        <v>3</v>
      </c>
      <c r="D9" t="s">
        <v>4</v>
      </c>
      <c r="E9" t="s">
        <v>83</v>
      </c>
    </row>
    <row r="10" spans="1:5" ht="15" x14ac:dyDescent="0.25">
      <c r="A10">
        <v>1</v>
      </c>
      <c r="C10" t="s">
        <v>69</v>
      </c>
      <c r="D10">
        <f>'Hardware details'!I22</f>
        <v>2000</v>
      </c>
      <c r="E10">
        <f>D10/36</f>
        <v>55.555555555555557</v>
      </c>
    </row>
    <row r="13" spans="1:5" ht="15" x14ac:dyDescent="0.25">
      <c r="A13" t="s">
        <v>65</v>
      </c>
      <c r="D13">
        <f>SUM(D10:D12)</f>
        <v>2000</v>
      </c>
      <c r="E13">
        <f>D13/36</f>
        <v>55.555555555555557</v>
      </c>
    </row>
    <row r="15" spans="1:5" ht="21" x14ac:dyDescent="0.35">
      <c r="A15" s="2" t="s">
        <v>5</v>
      </c>
    </row>
    <row r="16" spans="1:5" ht="15" x14ac:dyDescent="0.25">
      <c r="A16" t="s">
        <v>2</v>
      </c>
      <c r="B16" t="s">
        <v>6</v>
      </c>
      <c r="C16" t="s">
        <v>3</v>
      </c>
      <c r="D16" t="s">
        <v>4</v>
      </c>
      <c r="E16" t="s">
        <v>83</v>
      </c>
    </row>
    <row r="17" spans="1:5" ht="15" x14ac:dyDescent="0.25">
      <c r="E17">
        <f>D17/36</f>
        <v>0</v>
      </c>
    </row>
    <row r="18" spans="1:5" ht="15" x14ac:dyDescent="0.25">
      <c r="E18">
        <f t="shared" ref="E18:E20" si="0">D18/36</f>
        <v>0</v>
      </c>
    </row>
    <row r="19" spans="1:5" ht="15" x14ac:dyDescent="0.25">
      <c r="E19">
        <f t="shared" si="0"/>
        <v>0</v>
      </c>
    </row>
    <row r="20" spans="1:5" ht="15" x14ac:dyDescent="0.25">
      <c r="A20" t="s">
        <v>65</v>
      </c>
      <c r="D20">
        <f>SUM(D17:D19)</f>
        <v>0</v>
      </c>
      <c r="E20">
        <f t="shared" si="0"/>
        <v>0</v>
      </c>
    </row>
    <row r="22" spans="1:5" ht="18.75" x14ac:dyDescent="0.3">
      <c r="A22" s="1" t="s">
        <v>67</v>
      </c>
    </row>
    <row r="23" spans="1:5" ht="15" x14ac:dyDescent="0.25">
      <c r="A23" t="s">
        <v>5</v>
      </c>
      <c r="B23">
        <f>D20</f>
        <v>0</v>
      </c>
    </row>
    <row r="24" spans="1:5" ht="15" x14ac:dyDescent="0.25">
      <c r="A24" t="s">
        <v>1</v>
      </c>
      <c r="B24">
        <f>D13</f>
        <v>2000</v>
      </c>
    </row>
    <row r="25" spans="1:5" ht="15" x14ac:dyDescent="0.25">
      <c r="A25" t="s">
        <v>65</v>
      </c>
      <c r="B25">
        <f>B23+B24</f>
        <v>2000</v>
      </c>
    </row>
    <row r="26" spans="1:5" ht="15" x14ac:dyDescent="0.25">
      <c r="A26" t="s">
        <v>84</v>
      </c>
      <c r="B26">
        <f>B25/36</f>
        <v>55.555555555555557</v>
      </c>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J20"/>
  <sheetViews>
    <sheetView workbookViewId="0">
      <selection activeCell="E15" sqref="E15:F15"/>
    </sheetView>
  </sheetViews>
  <sheetFormatPr defaultRowHeight="14.4" x14ac:dyDescent="0.3"/>
  <cols>
    <col min="1" max="2" width="11.5546875" customWidth="1"/>
    <col min="7" max="8" width="10.44140625" customWidth="1"/>
    <col min="9" max="9" width="28.88671875" bestFit="1" customWidth="1"/>
  </cols>
  <sheetData>
    <row r="1" spans="1:10" ht="21" x14ac:dyDescent="0.35">
      <c r="A1" s="2" t="s">
        <v>7</v>
      </c>
    </row>
    <row r="9" spans="1:10" ht="18.75" x14ac:dyDescent="0.3">
      <c r="A9" s="1" t="s">
        <v>58</v>
      </c>
    </row>
    <row r="10" spans="1:10" ht="43.2" customHeight="1" x14ac:dyDescent="0.25">
      <c r="A10" s="35"/>
      <c r="B10" s="35"/>
      <c r="C10" s="78" t="s">
        <v>59</v>
      </c>
      <c r="D10" s="78"/>
      <c r="E10" s="72" t="s">
        <v>60</v>
      </c>
      <c r="F10" s="72"/>
      <c r="G10" s="72" t="s">
        <v>61</v>
      </c>
      <c r="H10" s="72"/>
      <c r="I10" s="72" t="s">
        <v>81</v>
      </c>
      <c r="J10" s="72"/>
    </row>
    <row r="11" spans="1:10" ht="15" x14ac:dyDescent="0.25">
      <c r="A11" s="73" t="s">
        <v>1</v>
      </c>
      <c r="B11" s="73"/>
      <c r="C11" s="37"/>
      <c r="D11" s="37"/>
      <c r="E11" s="38"/>
      <c r="F11" s="38"/>
      <c r="G11" s="38"/>
      <c r="H11" s="38"/>
      <c r="I11" s="38"/>
      <c r="J11" s="38"/>
    </row>
    <row r="12" spans="1:10" ht="15" x14ac:dyDescent="0.25">
      <c r="A12" s="74" t="s">
        <v>62</v>
      </c>
      <c r="B12" s="74"/>
      <c r="C12" s="81">
        <f>('Hardware details'!C13:D13)</f>
        <v>200</v>
      </c>
      <c r="D12" s="81"/>
      <c r="E12" s="76">
        <f>'Hardware details'!C12</f>
        <v>1750</v>
      </c>
      <c r="F12" s="76"/>
      <c r="G12" s="77">
        <f>E12/C12</f>
        <v>8.75</v>
      </c>
      <c r="H12" s="77"/>
      <c r="I12" s="77">
        <f>G12/36</f>
        <v>0.24305555555555555</v>
      </c>
      <c r="J12" s="77"/>
    </row>
    <row r="13" spans="1:10" ht="15" customHeight="1" x14ac:dyDescent="0.25">
      <c r="A13" s="74" t="s">
        <v>63</v>
      </c>
      <c r="B13" s="74"/>
      <c r="C13" s="75">
        <f>('Hardware details'!E13)</f>
        <v>100</v>
      </c>
      <c r="D13" s="75"/>
      <c r="E13" s="76">
        <f>'Hardware details'!E12:F12</f>
        <v>1750</v>
      </c>
      <c r="F13" s="76"/>
      <c r="G13" s="77">
        <f t="shared" ref="G13:G16" si="0">E13/C13</f>
        <v>17.5</v>
      </c>
      <c r="H13" s="77"/>
      <c r="I13" s="77">
        <f t="shared" ref="I13:I19" si="1">G13/36</f>
        <v>0.4861111111111111</v>
      </c>
      <c r="J13" s="77"/>
    </row>
    <row r="14" spans="1:10" ht="15" customHeight="1" x14ac:dyDescent="0.25">
      <c r="A14" s="74" t="s">
        <v>64</v>
      </c>
      <c r="B14" s="74"/>
      <c r="C14" s="82">
        <f>'Hardware details'!G13</f>
        <v>50</v>
      </c>
      <c r="D14" s="82"/>
      <c r="E14" s="76">
        <f>'Hardware details'!G12</f>
        <v>1750</v>
      </c>
      <c r="F14" s="76"/>
      <c r="G14" s="77">
        <f>E14/C14</f>
        <v>35</v>
      </c>
      <c r="H14" s="77"/>
      <c r="I14" s="77">
        <f t="shared" si="1"/>
        <v>0.97222222222222221</v>
      </c>
      <c r="J14" s="77"/>
    </row>
    <row r="15" spans="1:10" ht="15" customHeight="1" x14ac:dyDescent="0.25">
      <c r="A15" s="74" t="s">
        <v>33</v>
      </c>
      <c r="B15" s="74"/>
      <c r="C15" s="80">
        <f>'Hardware details'!C23:D23</f>
        <v>1000</v>
      </c>
      <c r="D15" s="80"/>
      <c r="E15" s="76">
        <f>'Hardware details'!C22</f>
        <v>1500</v>
      </c>
      <c r="F15" s="76"/>
      <c r="G15" s="77">
        <f t="shared" si="0"/>
        <v>1.5</v>
      </c>
      <c r="H15" s="77"/>
      <c r="I15" s="77">
        <f t="shared" si="1"/>
        <v>4.1666666666666664E-2</v>
      </c>
      <c r="J15" s="77"/>
    </row>
    <row r="16" spans="1:10" ht="15" customHeight="1" x14ac:dyDescent="0.25">
      <c r="A16" s="74" t="s">
        <v>34</v>
      </c>
      <c r="B16" s="74"/>
      <c r="C16" s="79">
        <f>'Hardware details'!E23</f>
        <v>30000</v>
      </c>
      <c r="D16" s="80"/>
      <c r="E16" s="76">
        <f>'Hardware details'!E22:F22</f>
        <v>1000</v>
      </c>
      <c r="F16" s="76"/>
      <c r="G16" s="77">
        <f t="shared" si="0"/>
        <v>3.3333333333333333E-2</v>
      </c>
      <c r="H16" s="77"/>
      <c r="I16" s="77">
        <f t="shared" si="1"/>
        <v>9.2592592592592596E-4</v>
      </c>
      <c r="J16" s="77"/>
    </row>
    <row r="17" spans="1:10" ht="15" customHeight="1" x14ac:dyDescent="0.25">
      <c r="A17" s="72"/>
      <c r="B17" s="72"/>
      <c r="C17" s="35"/>
      <c r="D17" s="35"/>
      <c r="E17" s="35" t="s">
        <v>66</v>
      </c>
      <c r="F17" s="35" t="s">
        <v>52</v>
      </c>
      <c r="G17" s="71">
        <f>G12+G15</f>
        <v>10.25</v>
      </c>
      <c r="H17" s="71"/>
      <c r="I17" s="71">
        <f t="shared" si="1"/>
        <v>0.28472222222222221</v>
      </c>
      <c r="J17" s="71"/>
    </row>
    <row r="18" spans="1:10" ht="15" customHeight="1" x14ac:dyDescent="0.25">
      <c r="A18" s="36"/>
      <c r="B18" s="36"/>
      <c r="C18" s="35"/>
      <c r="D18" s="35"/>
      <c r="E18" s="35"/>
      <c r="F18" s="35" t="s">
        <v>53</v>
      </c>
      <c r="G18" s="71">
        <f>G13+G15</f>
        <v>19</v>
      </c>
      <c r="H18" s="71"/>
      <c r="I18" s="71">
        <f t="shared" si="1"/>
        <v>0.52777777777777779</v>
      </c>
      <c r="J18" s="71"/>
    </row>
    <row r="19" spans="1:10" ht="15" customHeight="1" x14ac:dyDescent="0.25">
      <c r="A19" s="36"/>
      <c r="B19" s="36"/>
      <c r="C19" s="35"/>
      <c r="D19" s="35"/>
      <c r="E19" s="35"/>
      <c r="F19" s="35" t="s">
        <v>54</v>
      </c>
      <c r="G19" s="71">
        <f>G14+G15</f>
        <v>36.5</v>
      </c>
      <c r="H19" s="71"/>
      <c r="I19" s="71">
        <f t="shared" si="1"/>
        <v>1.0138888888888888</v>
      </c>
      <c r="J19" s="71"/>
    </row>
    <row r="20" spans="1:10" ht="15" x14ac:dyDescent="0.25">
      <c r="I20" t="s">
        <v>82</v>
      </c>
    </row>
  </sheetData>
  <mergeCells count="37">
    <mergeCell ref="I16:J16"/>
    <mergeCell ref="I17:J17"/>
    <mergeCell ref="I18:J18"/>
    <mergeCell ref="I19:J19"/>
    <mergeCell ref="I10:J10"/>
    <mergeCell ref="I12:J12"/>
    <mergeCell ref="I13:J13"/>
    <mergeCell ref="I14:J14"/>
    <mergeCell ref="I15:J15"/>
    <mergeCell ref="C10:D10"/>
    <mergeCell ref="C16:D16"/>
    <mergeCell ref="C12:D12"/>
    <mergeCell ref="C15:D15"/>
    <mergeCell ref="A14:B14"/>
    <mergeCell ref="C14:D14"/>
    <mergeCell ref="E10:F10"/>
    <mergeCell ref="G10:H10"/>
    <mergeCell ref="E12:F12"/>
    <mergeCell ref="E15:F15"/>
    <mergeCell ref="E16:F16"/>
    <mergeCell ref="G12:H12"/>
    <mergeCell ref="G15:H15"/>
    <mergeCell ref="G16:H16"/>
    <mergeCell ref="E14:F14"/>
    <mergeCell ref="G14:H14"/>
    <mergeCell ref="G19:H19"/>
    <mergeCell ref="A17:B17"/>
    <mergeCell ref="G17:H17"/>
    <mergeCell ref="A11:B11"/>
    <mergeCell ref="G18:H18"/>
    <mergeCell ref="A13:B13"/>
    <mergeCell ref="C13:D13"/>
    <mergeCell ref="E13:F13"/>
    <mergeCell ref="G13:H13"/>
    <mergeCell ref="A12:B12"/>
    <mergeCell ref="A15:B15"/>
    <mergeCell ref="A16:B1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M24"/>
  <sheetViews>
    <sheetView topLeftCell="A8" workbookViewId="0">
      <selection activeCell="B21" sqref="B21:M23"/>
    </sheetView>
  </sheetViews>
  <sheetFormatPr defaultRowHeight="14.4" x14ac:dyDescent="0.3"/>
  <cols>
    <col min="1" max="1" width="18" bestFit="1" customWidth="1"/>
    <col min="2" max="9" width="11.44140625" bestFit="1" customWidth="1"/>
    <col min="10" max="13" width="13.109375" bestFit="1" customWidth="1"/>
  </cols>
  <sheetData>
    <row r="1" spans="1:13" ht="21" x14ac:dyDescent="0.35">
      <c r="A1" s="2" t="s">
        <v>37</v>
      </c>
    </row>
    <row r="8" spans="1:13" ht="49.5" x14ac:dyDescent="0.3">
      <c r="A8" s="39" t="s">
        <v>55</v>
      </c>
      <c r="B8" s="40" t="s">
        <v>40</v>
      </c>
      <c r="C8" s="40" t="s">
        <v>41</v>
      </c>
      <c r="D8" s="40" t="s">
        <v>42</v>
      </c>
      <c r="E8" s="40" t="s">
        <v>43</v>
      </c>
      <c r="F8" s="40" t="s">
        <v>44</v>
      </c>
      <c r="G8" s="40" t="s">
        <v>45</v>
      </c>
      <c r="H8" s="40" t="s">
        <v>46</v>
      </c>
      <c r="I8" s="40" t="s">
        <v>47</v>
      </c>
      <c r="J8" s="40" t="s">
        <v>48</v>
      </c>
      <c r="K8" s="40" t="s">
        <v>49</v>
      </c>
      <c r="L8" s="40" t="s">
        <v>50</v>
      </c>
      <c r="M8" s="40" t="s">
        <v>51</v>
      </c>
    </row>
    <row r="9" spans="1:13" ht="15" x14ac:dyDescent="0.25">
      <c r="A9" s="49" t="s">
        <v>52</v>
      </c>
      <c r="B9" s="50">
        <f>'Sales forecast'!B10*'Package details'!$C$16</f>
        <v>911.45833333333337</v>
      </c>
      <c r="C9" s="50">
        <f>'Sales forecast'!C10*'Package details'!$C$16</f>
        <v>1822.9166666666667</v>
      </c>
      <c r="D9" s="50">
        <f>'Sales forecast'!D10*'Package details'!$C$16</f>
        <v>2734.375</v>
      </c>
      <c r="E9" s="50">
        <f>'Sales forecast'!E10*'Package details'!$C$16</f>
        <v>3645.8333333333335</v>
      </c>
      <c r="F9" s="50">
        <f>'Sales forecast'!F10*'Package details'!$C$16</f>
        <v>4557.291666666667</v>
      </c>
      <c r="G9" s="50">
        <f>'Sales forecast'!G10*'Package details'!$C$16</f>
        <v>5468.75</v>
      </c>
      <c r="H9" s="50">
        <f>'Sales forecast'!H10*'Package details'!$C$16</f>
        <v>6380.208333333333</v>
      </c>
      <c r="I9" s="50">
        <f>'Sales forecast'!I10*'Package details'!$C$16</f>
        <v>7291.6666666666661</v>
      </c>
      <c r="J9" s="50">
        <f>'Sales forecast'!J10*'Package details'!$C$16</f>
        <v>8203.1249999999982</v>
      </c>
      <c r="K9" s="50">
        <f>'Sales forecast'!K10*'Package details'!$C$16</f>
        <v>9114.5833333333321</v>
      </c>
      <c r="L9" s="50">
        <f>'Sales forecast'!L10*'Package details'!$C$16</f>
        <v>10026.041666666666</v>
      </c>
      <c r="M9" s="50">
        <f>'Sales forecast'!M10*'Package details'!$C$16</f>
        <v>10937.5</v>
      </c>
    </row>
    <row r="10" spans="1:13" ht="15" x14ac:dyDescent="0.25">
      <c r="A10" s="49" t="s">
        <v>53</v>
      </c>
      <c r="B10" s="50">
        <f>'Sales forecast'!B11*'Package details'!$C$28</f>
        <v>2343.75</v>
      </c>
      <c r="C10" s="50">
        <f>'Sales forecast'!C11*'Package details'!$C$28</f>
        <v>4687.5</v>
      </c>
      <c r="D10" s="50">
        <f>'Sales forecast'!D11*'Package details'!$C$28</f>
        <v>7031.25</v>
      </c>
      <c r="E10" s="50">
        <f>'Sales forecast'!E11*'Package details'!$C$28</f>
        <v>9375</v>
      </c>
      <c r="F10" s="50">
        <f>'Sales forecast'!F11*'Package details'!$C$28</f>
        <v>11718.75</v>
      </c>
      <c r="G10" s="50">
        <f>'Sales forecast'!G11*'Package details'!$C$28</f>
        <v>14062.5</v>
      </c>
      <c r="H10" s="50">
        <f>'Sales forecast'!H11*'Package details'!$C$28</f>
        <v>16406.25</v>
      </c>
      <c r="I10" s="50">
        <f>'Sales forecast'!I11*'Package details'!$C$28</f>
        <v>18750</v>
      </c>
      <c r="J10" s="50">
        <f>'Sales forecast'!J11*'Package details'!$C$28</f>
        <v>21093.749999999996</v>
      </c>
      <c r="K10" s="50">
        <f>'Sales forecast'!K11*'Package details'!$C$28</f>
        <v>23437.499999999996</v>
      </c>
      <c r="L10" s="50">
        <f>'Sales forecast'!L11*'Package details'!$C$28</f>
        <v>25781.25</v>
      </c>
      <c r="M10" s="50">
        <f>'Sales forecast'!M11*'Package details'!$C$28</f>
        <v>28125</v>
      </c>
    </row>
    <row r="11" spans="1:13" ht="15" x14ac:dyDescent="0.25">
      <c r="A11" s="49" t="s">
        <v>54</v>
      </c>
      <c r="B11" s="50">
        <f>'Sales forecast'!B12*'Package details'!$C$40</f>
        <v>1432.2916666666667</v>
      </c>
      <c r="C11" s="50">
        <f>'Sales forecast'!C12*'Package details'!$C$40</f>
        <v>2864.5833333333335</v>
      </c>
      <c r="D11" s="50">
        <f>'Sales forecast'!D12*'Package details'!$C$40</f>
        <v>4296.875</v>
      </c>
      <c r="E11" s="50">
        <f>'Sales forecast'!E12*'Package details'!$C$40</f>
        <v>5729.166666666667</v>
      </c>
      <c r="F11" s="50">
        <f>'Sales forecast'!F12*'Package details'!$C$40</f>
        <v>7161.4583333333339</v>
      </c>
      <c r="G11" s="50">
        <f>'Sales forecast'!G12*'Package details'!$C$40</f>
        <v>8593.75</v>
      </c>
      <c r="H11" s="50">
        <f>'Sales forecast'!H12*'Package details'!$C$40</f>
        <v>10026.041666666666</v>
      </c>
      <c r="I11" s="50">
        <f>'Sales forecast'!I12*'Package details'!$C$40</f>
        <v>11458.333333333332</v>
      </c>
      <c r="J11" s="50">
        <f>'Sales forecast'!J12*'Package details'!$C$40</f>
        <v>12890.624999999998</v>
      </c>
      <c r="K11" s="50">
        <f>'Sales forecast'!K12*'Package details'!$C$40</f>
        <v>14322.916666666664</v>
      </c>
      <c r="L11" s="50">
        <f>'Sales forecast'!L12*'Package details'!$C$40</f>
        <v>15755.208333333332</v>
      </c>
      <c r="M11" s="50">
        <f>'Sales forecast'!M12*'Package details'!$C$40</f>
        <v>17187.5</v>
      </c>
    </row>
    <row r="12" spans="1:13" ht="15" x14ac:dyDescent="0.25">
      <c r="A12" s="47" t="s">
        <v>37</v>
      </c>
      <c r="B12" s="48">
        <f t="shared" ref="B12:M12" si="0">SUM(B9:B11)</f>
        <v>4687.5</v>
      </c>
      <c r="C12" s="48">
        <f t="shared" si="0"/>
        <v>9375</v>
      </c>
      <c r="D12" s="48">
        <f t="shared" si="0"/>
        <v>14062.5</v>
      </c>
      <c r="E12" s="48">
        <f t="shared" si="0"/>
        <v>18750</v>
      </c>
      <c r="F12" s="48">
        <f t="shared" si="0"/>
        <v>23437.5</v>
      </c>
      <c r="G12" s="48">
        <f t="shared" si="0"/>
        <v>28125</v>
      </c>
      <c r="H12" s="48">
        <f t="shared" si="0"/>
        <v>32812.5</v>
      </c>
      <c r="I12" s="48">
        <f t="shared" si="0"/>
        <v>37500</v>
      </c>
      <c r="J12" s="48">
        <f t="shared" si="0"/>
        <v>42187.499999999993</v>
      </c>
      <c r="K12" s="48">
        <f t="shared" si="0"/>
        <v>46874.999999999993</v>
      </c>
      <c r="L12" s="48">
        <f t="shared" si="0"/>
        <v>51562.5</v>
      </c>
      <c r="M12" s="48">
        <f t="shared" si="0"/>
        <v>56250</v>
      </c>
    </row>
    <row r="14" spans="1:13" ht="49.5" x14ac:dyDescent="0.3">
      <c r="A14" s="39" t="s">
        <v>56</v>
      </c>
      <c r="B14" s="40" t="s">
        <v>40</v>
      </c>
      <c r="C14" s="40" t="s">
        <v>41</v>
      </c>
      <c r="D14" s="40" t="s">
        <v>42</v>
      </c>
      <c r="E14" s="40" t="s">
        <v>43</v>
      </c>
      <c r="F14" s="40" t="s">
        <v>44</v>
      </c>
      <c r="G14" s="40" t="s">
        <v>45</v>
      </c>
      <c r="H14" s="40" t="s">
        <v>46</v>
      </c>
      <c r="I14" s="40" t="s">
        <v>47</v>
      </c>
      <c r="J14" s="40" t="s">
        <v>48</v>
      </c>
      <c r="K14" s="40" t="s">
        <v>49</v>
      </c>
      <c r="L14" s="40" t="s">
        <v>50</v>
      </c>
      <c r="M14" s="40" t="s">
        <v>51</v>
      </c>
    </row>
    <row r="15" spans="1:13" ht="15" x14ac:dyDescent="0.25">
      <c r="A15" s="49" t="s">
        <v>52</v>
      </c>
      <c r="B15" s="50">
        <f>'Sales forecast'!B17*'Package details'!$C$16</f>
        <v>12760.416666666666</v>
      </c>
      <c r="C15" s="50">
        <f>'Sales forecast'!C17*'Package details'!$C$16</f>
        <v>14583.333333333332</v>
      </c>
      <c r="D15" s="50">
        <f>'Sales forecast'!D17*'Package details'!$C$16</f>
        <v>16406.249999999996</v>
      </c>
      <c r="E15" s="50">
        <f>'Sales forecast'!E17*'Package details'!$C$16</f>
        <v>18229.166666666664</v>
      </c>
      <c r="F15" s="50">
        <f>'Sales forecast'!F17*'Package details'!$C$16</f>
        <v>20052.083333333332</v>
      </c>
      <c r="G15" s="50">
        <f>'Sales forecast'!G17*'Package details'!$C$16</f>
        <v>21875</v>
      </c>
      <c r="H15" s="50">
        <f>'Sales forecast'!H17*'Package details'!$C$16</f>
        <v>23697.916666666668</v>
      </c>
      <c r="I15" s="50">
        <f>'Sales forecast'!I17*'Package details'!$C$16</f>
        <v>25520.833333333336</v>
      </c>
      <c r="J15" s="50">
        <f>'Sales forecast'!J17*'Package details'!$C$16</f>
        <v>27343.750000000004</v>
      </c>
      <c r="K15" s="50">
        <f>'Sales forecast'!K17*'Package details'!$C$16</f>
        <v>29166.666666666672</v>
      </c>
      <c r="L15" s="50">
        <f>'Sales forecast'!L17*'Package details'!$C$16</f>
        <v>30989.583333333339</v>
      </c>
      <c r="M15" s="50">
        <f>'Sales forecast'!M17*'Package details'!$C$16</f>
        <v>32812.500000000007</v>
      </c>
    </row>
    <row r="16" spans="1:13" ht="15" x14ac:dyDescent="0.25">
      <c r="A16" s="49" t="s">
        <v>53</v>
      </c>
      <c r="B16" s="50">
        <f>'Sales forecast'!B18*'Package details'!$C$28</f>
        <v>32812.5</v>
      </c>
      <c r="C16" s="50">
        <f>'Sales forecast'!C18*'Package details'!$C$28</f>
        <v>37500</v>
      </c>
      <c r="D16" s="50">
        <f>'Sales forecast'!D18*'Package details'!$C$28</f>
        <v>42187.499999999993</v>
      </c>
      <c r="E16" s="50">
        <f>'Sales forecast'!E18*'Package details'!$C$28</f>
        <v>46874.999999999993</v>
      </c>
      <c r="F16" s="50">
        <f>'Sales forecast'!F18*'Package details'!$C$28</f>
        <v>51562.5</v>
      </c>
      <c r="G16" s="50">
        <f>'Sales forecast'!G18*'Package details'!$C$28</f>
        <v>56250</v>
      </c>
      <c r="H16" s="50">
        <f>'Sales forecast'!H18*'Package details'!$C$28</f>
        <v>60937.5</v>
      </c>
      <c r="I16" s="50">
        <f>'Sales forecast'!I18*'Package details'!$C$28</f>
        <v>65625</v>
      </c>
      <c r="J16" s="50">
        <f>'Sales forecast'!J18*'Package details'!$C$28</f>
        <v>70312.500000000015</v>
      </c>
      <c r="K16" s="50">
        <f>'Sales forecast'!K18*'Package details'!$C$28</f>
        <v>75000.000000000015</v>
      </c>
      <c r="L16" s="50">
        <f>'Sales forecast'!L18*'Package details'!$C$28</f>
        <v>79687.500000000015</v>
      </c>
      <c r="M16" s="50">
        <f>'Sales forecast'!M18*'Package details'!$C$28</f>
        <v>84375.000000000015</v>
      </c>
    </row>
    <row r="17" spans="1:13" ht="15" x14ac:dyDescent="0.25">
      <c r="A17" s="49" t="s">
        <v>54</v>
      </c>
      <c r="B17" s="50">
        <f>'Sales forecast'!B19*'Package details'!$C$40</f>
        <v>20052.083333333332</v>
      </c>
      <c r="C17" s="50">
        <f>'Sales forecast'!C19*'Package details'!$C$40</f>
        <v>22916.666666666664</v>
      </c>
      <c r="D17" s="50">
        <f>'Sales forecast'!D19*'Package details'!$C$40</f>
        <v>25781.249999999996</v>
      </c>
      <c r="E17" s="50">
        <f>'Sales forecast'!E19*'Package details'!$C$40</f>
        <v>28645.833333333328</v>
      </c>
      <c r="F17" s="50">
        <f>'Sales forecast'!F19*'Package details'!$C$40</f>
        <v>31510.416666666664</v>
      </c>
      <c r="G17" s="50">
        <f>'Sales forecast'!G19*'Package details'!$C$40</f>
        <v>34375</v>
      </c>
      <c r="H17" s="50">
        <f>'Sales forecast'!H19*'Package details'!$C$40</f>
        <v>37239.583333333336</v>
      </c>
      <c r="I17" s="50">
        <f>'Sales forecast'!I19*'Package details'!$C$40</f>
        <v>40104.166666666672</v>
      </c>
      <c r="J17" s="50">
        <f>'Sales forecast'!J19*'Package details'!$C$40</f>
        <v>42968.750000000007</v>
      </c>
      <c r="K17" s="50">
        <f>'Sales forecast'!K19*'Package details'!$C$40</f>
        <v>45833.333333333343</v>
      </c>
      <c r="L17" s="50">
        <f>'Sales forecast'!L19*'Package details'!$C$40</f>
        <v>48697.916666666679</v>
      </c>
      <c r="M17" s="50">
        <f>'Sales forecast'!M19*'Package details'!$C$40</f>
        <v>51562.500000000015</v>
      </c>
    </row>
    <row r="18" spans="1:13" ht="15" x14ac:dyDescent="0.25">
      <c r="A18" s="47" t="str">
        <f>A12</f>
        <v>Total revenue</v>
      </c>
      <c r="B18" s="48">
        <f t="shared" ref="B18:M18" si="1">SUM(B15:B17)</f>
        <v>65625</v>
      </c>
      <c r="C18" s="48">
        <f t="shared" si="1"/>
        <v>75000</v>
      </c>
      <c r="D18" s="48">
        <f t="shared" si="1"/>
        <v>84374.999999999985</v>
      </c>
      <c r="E18" s="48">
        <f t="shared" si="1"/>
        <v>93749.999999999985</v>
      </c>
      <c r="F18" s="48">
        <f t="shared" si="1"/>
        <v>103125</v>
      </c>
      <c r="G18" s="48">
        <f t="shared" si="1"/>
        <v>112500</v>
      </c>
      <c r="H18" s="48">
        <f t="shared" si="1"/>
        <v>121875</v>
      </c>
      <c r="I18" s="48">
        <f t="shared" si="1"/>
        <v>131250</v>
      </c>
      <c r="J18" s="48">
        <f t="shared" si="1"/>
        <v>140625.00000000003</v>
      </c>
      <c r="K18" s="48">
        <f t="shared" si="1"/>
        <v>150000.00000000003</v>
      </c>
      <c r="L18" s="48">
        <f t="shared" si="1"/>
        <v>159375.00000000003</v>
      </c>
      <c r="M18" s="48">
        <f t="shared" si="1"/>
        <v>168750.00000000006</v>
      </c>
    </row>
    <row r="20" spans="1:13" ht="49.5" x14ac:dyDescent="0.3">
      <c r="A20" s="39" t="s">
        <v>57</v>
      </c>
      <c r="B20" s="40" t="s">
        <v>40</v>
      </c>
      <c r="C20" s="40" t="s">
        <v>41</v>
      </c>
      <c r="D20" s="40" t="s">
        <v>42</v>
      </c>
      <c r="E20" s="40" t="s">
        <v>43</v>
      </c>
      <c r="F20" s="40" t="s">
        <v>44</v>
      </c>
      <c r="G20" s="40" t="s">
        <v>45</v>
      </c>
      <c r="H20" s="40" t="s">
        <v>46</v>
      </c>
      <c r="I20" s="40" t="s">
        <v>47</v>
      </c>
      <c r="J20" s="40" t="s">
        <v>48</v>
      </c>
      <c r="K20" s="40" t="s">
        <v>49</v>
      </c>
      <c r="L20" s="40" t="s">
        <v>50</v>
      </c>
      <c r="M20" s="40" t="s">
        <v>51</v>
      </c>
    </row>
    <row r="21" spans="1:13" ht="15" x14ac:dyDescent="0.25">
      <c r="A21" s="49" t="s">
        <v>52</v>
      </c>
      <c r="B21" s="50">
        <f>'Sales forecast'!B24*'Package details'!$C$16</f>
        <v>36458.333333333343</v>
      </c>
      <c r="C21" s="50">
        <f>'Sales forecast'!C24*'Package details'!$C$16</f>
        <v>40104.166666666679</v>
      </c>
      <c r="D21" s="50">
        <f>'Sales forecast'!D24*'Package details'!$C$16</f>
        <v>43750.000000000015</v>
      </c>
      <c r="E21" s="50">
        <f>'Sales forecast'!E24*'Package details'!$C$16</f>
        <v>47395.83333333335</v>
      </c>
      <c r="F21" s="50">
        <f>'Sales forecast'!F24*'Package details'!$C$16</f>
        <v>51041.666666666686</v>
      </c>
      <c r="G21" s="50">
        <f>'Sales forecast'!G24*'Package details'!$C$16</f>
        <v>54687.500000000022</v>
      </c>
      <c r="H21" s="50">
        <f>'Sales forecast'!H24*'Package details'!$C$16</f>
        <v>58333.333333333358</v>
      </c>
      <c r="I21" s="50">
        <f>'Sales forecast'!I24*'Package details'!$C$16</f>
        <v>61979.166666666693</v>
      </c>
      <c r="J21" s="50">
        <f>'Sales forecast'!J24*'Package details'!$C$16</f>
        <v>65625.000000000029</v>
      </c>
      <c r="K21" s="50">
        <f>'Sales forecast'!K24*'Package details'!$C$16</f>
        <v>69270.833333333372</v>
      </c>
      <c r="L21" s="50">
        <f>'Sales forecast'!L24*'Package details'!$C$16</f>
        <v>72916.666666666701</v>
      </c>
      <c r="M21" s="50">
        <f>'Sales forecast'!M24*'Package details'!$C$16</f>
        <v>76562.500000000029</v>
      </c>
    </row>
    <row r="22" spans="1:13" ht="15" x14ac:dyDescent="0.25">
      <c r="A22" s="49" t="s">
        <v>53</v>
      </c>
      <c r="B22" s="50">
        <f>'Sales forecast'!B25*'Package details'!$C$28</f>
        <v>93750.000000000029</v>
      </c>
      <c r="C22" s="50">
        <f>'Sales forecast'!C25*'Package details'!$C$28</f>
        <v>103125.00000000003</v>
      </c>
      <c r="D22" s="50">
        <f>'Sales forecast'!D25*'Package details'!$C$28</f>
        <v>112500.00000000004</v>
      </c>
      <c r="E22" s="50">
        <f>'Sales forecast'!E25*'Package details'!$C$28</f>
        <v>121875.00000000004</v>
      </c>
      <c r="F22" s="50">
        <f>'Sales forecast'!F25*'Package details'!$C$28</f>
        <v>131250.00000000006</v>
      </c>
      <c r="G22" s="50">
        <f>'Sales forecast'!G25*'Package details'!$C$28</f>
        <v>140625.00000000006</v>
      </c>
      <c r="H22" s="50">
        <f>'Sales forecast'!H25*'Package details'!$C$28</f>
        <v>150000.00000000006</v>
      </c>
      <c r="I22" s="50">
        <f>'Sales forecast'!I25*'Package details'!$C$28</f>
        <v>159375.00000000009</v>
      </c>
      <c r="J22" s="50">
        <f>'Sales forecast'!J25*'Package details'!$C$28</f>
        <v>168750.00000000009</v>
      </c>
      <c r="K22" s="50">
        <f>'Sales forecast'!K25*'Package details'!$C$28</f>
        <v>178125.00000000009</v>
      </c>
      <c r="L22" s="50">
        <f>'Sales forecast'!L25*'Package details'!$C$28</f>
        <v>187500.00000000009</v>
      </c>
      <c r="M22" s="50">
        <f>'Sales forecast'!M25*'Package details'!$C$28</f>
        <v>196875.00000000009</v>
      </c>
    </row>
    <row r="23" spans="1:13" ht="15" x14ac:dyDescent="0.25">
      <c r="A23" s="49" t="s">
        <v>54</v>
      </c>
      <c r="B23" s="50">
        <f>'Sales forecast'!B26*'Package details'!$C$40</f>
        <v>57291.666666666686</v>
      </c>
      <c r="C23" s="50">
        <f>'Sales forecast'!C26*'Package details'!$C$40</f>
        <v>63020.833333333358</v>
      </c>
      <c r="D23" s="50">
        <f>'Sales forecast'!D26*'Package details'!$C$40</f>
        <v>68750.000000000029</v>
      </c>
      <c r="E23" s="50">
        <f>'Sales forecast'!E26*'Package details'!$C$40</f>
        <v>74479.166666666701</v>
      </c>
      <c r="F23" s="50">
        <f>'Sales forecast'!F26*'Package details'!$C$40</f>
        <v>80208.333333333372</v>
      </c>
      <c r="G23" s="50">
        <f>'Sales forecast'!G26*'Package details'!$C$40</f>
        <v>85937.500000000044</v>
      </c>
      <c r="H23" s="50">
        <f>'Sales forecast'!H26*'Package details'!$C$40</f>
        <v>91666.666666666715</v>
      </c>
      <c r="I23" s="50">
        <f>'Sales forecast'!I26*'Package details'!$C$40</f>
        <v>97395.833333333372</v>
      </c>
      <c r="J23" s="50">
        <f>'Sales forecast'!J26*'Package details'!$C$40</f>
        <v>103125.00000000004</v>
      </c>
      <c r="K23" s="50">
        <f>'Sales forecast'!K26*'Package details'!$C$40</f>
        <v>108854.16666666672</v>
      </c>
      <c r="L23" s="50">
        <f>'Sales forecast'!L26*'Package details'!$C$40</f>
        <v>114583.33333333339</v>
      </c>
      <c r="M23" s="50">
        <f>'Sales forecast'!M26*'Package details'!$C$40</f>
        <v>120312.50000000004</v>
      </c>
    </row>
    <row r="24" spans="1:13" ht="15" x14ac:dyDescent="0.25">
      <c r="A24" s="47" t="str">
        <f>A12</f>
        <v>Total revenue</v>
      </c>
      <c r="B24" s="48">
        <f t="shared" ref="B24:M24" si="2">SUM(B21:B23)</f>
        <v>187500.00000000006</v>
      </c>
      <c r="C24" s="48">
        <f t="shared" si="2"/>
        <v>206250.00000000006</v>
      </c>
      <c r="D24" s="48">
        <f t="shared" si="2"/>
        <v>225000.00000000009</v>
      </c>
      <c r="E24" s="48">
        <f t="shared" si="2"/>
        <v>243750.00000000012</v>
      </c>
      <c r="F24" s="48">
        <f t="shared" si="2"/>
        <v>262500.00000000012</v>
      </c>
      <c r="G24" s="48">
        <f t="shared" si="2"/>
        <v>281250.00000000012</v>
      </c>
      <c r="H24" s="48">
        <f t="shared" si="2"/>
        <v>300000.00000000012</v>
      </c>
      <c r="I24" s="48">
        <f t="shared" si="2"/>
        <v>318750.00000000012</v>
      </c>
      <c r="J24" s="48">
        <f t="shared" si="2"/>
        <v>337500.00000000017</v>
      </c>
      <c r="K24" s="48">
        <f t="shared" si="2"/>
        <v>356250.00000000017</v>
      </c>
      <c r="L24" s="48">
        <f t="shared" si="2"/>
        <v>375000.00000000017</v>
      </c>
      <c r="M24" s="48">
        <f t="shared" si="2"/>
        <v>393750.00000000017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Package details</vt:lpstr>
      <vt:lpstr>Hardware details</vt:lpstr>
      <vt:lpstr>Sales forecast</vt:lpstr>
      <vt:lpstr>Hardware demands</vt:lpstr>
      <vt:lpstr>Expenses</vt:lpstr>
      <vt:lpstr>Expenses2</vt:lpstr>
      <vt:lpstr>Total costs</vt:lpstr>
      <vt:lpstr>Constant costs</vt:lpstr>
      <vt:lpstr>Variable costs</vt:lpstr>
      <vt:lpstr>Total revenue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VIRT financial plan</dc:title>
  <dc:creator>Guido Baars</dc:creator>
  <cp:lastModifiedBy>Guido Baars</cp:lastModifiedBy>
  <dcterms:created xsi:type="dcterms:W3CDTF">2014-10-15T11:53:01Z</dcterms:created>
  <dcterms:modified xsi:type="dcterms:W3CDTF">2014-10-27T16:20:17Z</dcterms:modified>
</cp:coreProperties>
</file>